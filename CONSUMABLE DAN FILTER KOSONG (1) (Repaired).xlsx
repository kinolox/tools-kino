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tools kino\"/>
    </mc:Choice>
  </mc:AlternateContent>
  <xr:revisionPtr revIDLastSave="0" documentId="13_ncr:1_{87B41710-E83E-4DE2-8431-CD469249B0EE}" xr6:coauthVersionLast="47" xr6:coauthVersionMax="47" xr10:uidLastSave="{00000000-0000-0000-0000-000000000000}"/>
  <bookViews>
    <workbookView xWindow="-120" yWindow="-120" windowWidth="20730" windowHeight="11760" xr2:uid="{5ADE69E9-448A-4254-8C62-4970DD05B55F}"/>
  </bookViews>
  <sheets>
    <sheet name="LAPORAN STOK (2)" sheetId="1" r:id="rId1"/>
    <sheet name="CEK" sheetId="2" r:id="rId2"/>
  </sheets>
  <externalReferences>
    <externalReference r:id="rId3"/>
    <externalReference r:id="rId4"/>
  </externalReferences>
  <definedNames>
    <definedName name="Z_6A3D5950_488E_41C5_A0A2_746A91C81673_.wvu.FilterData" localSheetId="0" hidden="1">'LAPORAN STOK (2)'!$A$3:$G$62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E1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4" i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H183" i="2"/>
  <c r="B183" i="2"/>
  <c r="H182" i="2"/>
  <c r="B182" i="2"/>
  <c r="H181" i="2"/>
  <c r="B181" i="2"/>
  <c r="H180" i="2"/>
  <c r="B180" i="2"/>
  <c r="H179" i="2"/>
  <c r="B179" i="2"/>
  <c r="H178" i="2"/>
  <c r="B178" i="2"/>
  <c r="H177" i="2"/>
  <c r="B177" i="2"/>
  <c r="H176" i="2"/>
  <c r="B176" i="2"/>
  <c r="H175" i="2"/>
  <c r="B175" i="2"/>
  <c r="H174" i="2"/>
  <c r="B174" i="2"/>
  <c r="H173" i="2"/>
  <c r="B173" i="2"/>
  <c r="H172" i="2"/>
  <c r="B172" i="2"/>
  <c r="H171" i="2"/>
  <c r="B171" i="2"/>
  <c r="H170" i="2"/>
  <c r="B170" i="2"/>
  <c r="H169" i="2"/>
  <c r="B169" i="2"/>
  <c r="H168" i="2"/>
  <c r="B168" i="2"/>
  <c r="H167" i="2"/>
  <c r="B167" i="2"/>
  <c r="H166" i="2"/>
  <c r="B166" i="2"/>
  <c r="H165" i="2"/>
  <c r="B165" i="2"/>
  <c r="H164" i="2"/>
  <c r="B164" i="2"/>
  <c r="H163" i="2"/>
  <c r="B163" i="2"/>
  <c r="H162" i="2"/>
  <c r="B162" i="2"/>
  <c r="H161" i="2"/>
  <c r="B161" i="2"/>
  <c r="H160" i="2"/>
  <c r="B160" i="2"/>
  <c r="H159" i="2"/>
  <c r="B159" i="2"/>
  <c r="H158" i="2"/>
  <c r="B158" i="2"/>
  <c r="H157" i="2"/>
  <c r="B157" i="2"/>
  <c r="H156" i="2"/>
  <c r="B156" i="2"/>
  <c r="H155" i="2"/>
  <c r="B155" i="2"/>
  <c r="H154" i="2"/>
  <c r="B154" i="2"/>
  <c r="H153" i="2"/>
  <c r="B153" i="2"/>
  <c r="H152" i="2"/>
  <c r="B152" i="2"/>
  <c r="H151" i="2"/>
  <c r="B151" i="2"/>
  <c r="H150" i="2"/>
  <c r="B150" i="2"/>
  <c r="H149" i="2"/>
  <c r="B149" i="2"/>
  <c r="H148" i="2"/>
  <c r="B148" i="2"/>
  <c r="H147" i="2"/>
  <c r="B147" i="2"/>
  <c r="H146" i="2"/>
  <c r="B146" i="2"/>
  <c r="H145" i="2"/>
  <c r="B145" i="2"/>
  <c r="H144" i="2"/>
  <c r="B144" i="2"/>
  <c r="H143" i="2"/>
  <c r="B143" i="2"/>
  <c r="H142" i="2"/>
  <c r="B142" i="2"/>
  <c r="H141" i="2"/>
  <c r="B141" i="2"/>
  <c r="H140" i="2"/>
  <c r="B140" i="2"/>
  <c r="H139" i="2"/>
  <c r="B139" i="2"/>
  <c r="H138" i="2"/>
  <c r="B138" i="2"/>
  <c r="H137" i="2"/>
  <c r="B137" i="2"/>
  <c r="H136" i="2"/>
  <c r="B136" i="2"/>
  <c r="H135" i="2"/>
  <c r="B135" i="2"/>
  <c r="H134" i="2"/>
  <c r="B134" i="2"/>
  <c r="H133" i="2"/>
  <c r="B133" i="2"/>
  <c r="H132" i="2"/>
  <c r="B132" i="2"/>
  <c r="H131" i="2"/>
  <c r="B131" i="2"/>
  <c r="H130" i="2"/>
  <c r="B130" i="2"/>
  <c r="H129" i="2"/>
  <c r="B129" i="2"/>
  <c r="H128" i="2"/>
  <c r="B128" i="2"/>
  <c r="H127" i="2"/>
  <c r="B127" i="2"/>
  <c r="H126" i="2"/>
  <c r="B126" i="2"/>
  <c r="H125" i="2"/>
  <c r="B125" i="2"/>
  <c r="H124" i="2"/>
  <c r="B124" i="2"/>
  <c r="H123" i="2"/>
  <c r="B123" i="2"/>
  <c r="H122" i="2"/>
  <c r="B122" i="2"/>
  <c r="H121" i="2"/>
  <c r="B121" i="2"/>
  <c r="H120" i="2"/>
  <c r="B120" i="2"/>
  <c r="H119" i="2"/>
  <c r="B119" i="2"/>
  <c r="H118" i="2"/>
  <c r="B118" i="2"/>
  <c r="H117" i="2"/>
  <c r="B117" i="2"/>
  <c r="H116" i="2"/>
  <c r="B116" i="2"/>
  <c r="H115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H3" i="2"/>
  <c r="B3" i="2"/>
  <c r="H2" i="2"/>
  <c r="B2" i="2"/>
  <c r="H1" i="2"/>
  <c r="B1" i="2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H108" i="2"/>
  <c r="H92" i="2"/>
  <c r="H106" i="2"/>
  <c r="H104" i="2"/>
  <c r="H90" i="2"/>
  <c r="H88" i="2"/>
  <c r="H114" i="2"/>
  <c r="H112" i="2"/>
  <c r="H110" i="2"/>
  <c r="H102" i="2"/>
  <c r="H100" i="2"/>
  <c r="H98" i="2"/>
  <c r="H96" i="2"/>
  <c r="H94" i="2"/>
  <c r="H86" i="2"/>
  <c r="H72" i="2"/>
  <c r="H61" i="2"/>
  <c r="H53" i="2"/>
  <c r="H45" i="2"/>
  <c r="H37" i="2"/>
  <c r="H29" i="2"/>
  <c r="H21" i="2"/>
  <c r="H13" i="2"/>
  <c r="H84" i="2"/>
  <c r="H70" i="2"/>
  <c r="H68" i="2"/>
  <c r="H59" i="2"/>
  <c r="H51" i="2"/>
  <c r="H43" i="2"/>
  <c r="H35" i="2"/>
  <c r="H27" i="2"/>
  <c r="H19" i="2"/>
  <c r="H9" i="2"/>
  <c r="H82" i="2"/>
  <c r="H80" i="2"/>
  <c r="H78" i="2"/>
  <c r="H76" i="2"/>
  <c r="H74" i="2"/>
  <c r="H65" i="2"/>
  <c r="H63" i="2"/>
  <c r="H57" i="2"/>
  <c r="H55" i="2"/>
  <c r="H49" i="2"/>
  <c r="H47" i="2"/>
  <c r="H41" i="2"/>
  <c r="H39" i="2"/>
  <c r="H33" i="2"/>
  <c r="H31" i="2"/>
  <c r="H25" i="2"/>
  <c r="H23" i="2"/>
  <c r="H17" i="2"/>
  <c r="H15" i="2"/>
  <c r="H83" i="2"/>
  <c r="H11" i="2"/>
  <c r="H66" i="2"/>
  <c r="H99" i="2"/>
  <c r="H67" i="2"/>
  <c r="H113" i="2"/>
  <c r="H111" i="2"/>
  <c r="H97" i="2"/>
  <c r="H95" i="2"/>
  <c r="H81" i="2"/>
  <c r="H79" i="2"/>
  <c r="H64" i="2"/>
  <c r="H62" i="2"/>
  <c r="H60" i="2"/>
  <c r="H58" i="2"/>
  <c r="H56" i="2"/>
  <c r="H54" i="2"/>
  <c r="H52" i="2"/>
  <c r="H50" i="2"/>
  <c r="H48" i="2"/>
  <c r="H46" i="2"/>
  <c r="H44" i="2"/>
  <c r="H42" i="2"/>
  <c r="H40" i="2"/>
  <c r="H38" i="2"/>
  <c r="H36" i="2"/>
  <c r="H34" i="2"/>
  <c r="H32" i="2"/>
  <c r="H30" i="2"/>
  <c r="H28" i="2"/>
  <c r="H26" i="2"/>
  <c r="H24" i="2"/>
  <c r="H22" i="2"/>
  <c r="H20" i="2"/>
  <c r="H18" i="2"/>
  <c r="H16" i="2"/>
  <c r="H14" i="2"/>
  <c r="H12" i="2"/>
  <c r="H10" i="2"/>
  <c r="H8" i="2"/>
  <c r="H4" i="2"/>
  <c r="H6" i="2"/>
  <c r="H109" i="2"/>
  <c r="H107" i="2"/>
  <c r="H105" i="2"/>
  <c r="H103" i="2"/>
  <c r="H101" i="2"/>
  <c r="H93" i="2"/>
  <c r="H91" i="2"/>
  <c r="H89" i="2"/>
  <c r="H87" i="2"/>
  <c r="H85" i="2"/>
  <c r="H77" i="2"/>
  <c r="H75" i="2"/>
  <c r="H73" i="2"/>
  <c r="H71" i="2"/>
  <c r="H69" i="2"/>
  <c r="H7" i="2"/>
  <c r="H5" i="2"/>
</calcChain>
</file>

<file path=xl/sharedStrings.xml><?xml version="1.0" encoding="utf-8"?>
<sst xmlns="http://schemas.openxmlformats.org/spreadsheetml/2006/main" count="931" uniqueCount="460">
  <si>
    <t>STATUS</t>
  </si>
  <si>
    <t>ITEM ID</t>
  </si>
  <si>
    <t>SPESIFIKASI</t>
  </si>
  <si>
    <t>SATUAN</t>
  </si>
  <si>
    <t>STOCK SISTEM</t>
  </si>
  <si>
    <t>STOCK ACTUAL</t>
  </si>
  <si>
    <t>SELISIH</t>
  </si>
  <si>
    <t>EL1000363</t>
  </si>
  <si>
    <t>BALON LAMPU H11 12 VOLT - 100 WATT</t>
  </si>
  <si>
    <t>PCS</t>
  </si>
  <si>
    <t>EL1000155</t>
  </si>
  <si>
    <t>LAMPU LED KUNING 12 - 24 VOLT</t>
  </si>
  <si>
    <t>EL1000154</t>
  </si>
  <si>
    <t>LAMPU LED PUTIH 12 - 24 VOLT</t>
  </si>
  <si>
    <t>CONSUMABLE</t>
  </si>
  <si>
    <t>KO1000500</t>
  </si>
  <si>
    <t>LAKBAN HITAM</t>
  </si>
  <si>
    <t>KO1000032</t>
  </si>
  <si>
    <t>LAKBAN BENING</t>
  </si>
  <si>
    <t>KO1000366</t>
  </si>
  <si>
    <t>LEM KAPAL 395G/400G</t>
  </si>
  <si>
    <t>PASANG</t>
  </si>
  <si>
    <t>KO1001637</t>
  </si>
  <si>
    <t>LEM INDIAN</t>
  </si>
  <si>
    <t>BOTOL</t>
  </si>
  <si>
    <t>KO1000755</t>
  </si>
  <si>
    <t>MATA GURINDA AMPLAS - 4 INCH</t>
  </si>
  <si>
    <t>KO1000641</t>
  </si>
  <si>
    <t>MATA GURINDA TEBAL - 4 INCHI</t>
  </si>
  <si>
    <t>KO1001523</t>
  </si>
  <si>
    <t>STANG LAS 800 A</t>
  </si>
  <si>
    <t xml:space="preserve">PCS </t>
  </si>
  <si>
    <t>KO1000622</t>
  </si>
  <si>
    <t>WD (PEMBERSIH KARAT) 333ML</t>
  </si>
  <si>
    <t>KO1002022</t>
  </si>
  <si>
    <t>WHEEL NUT INDIKATOR - UK 32MM</t>
  </si>
  <si>
    <t>KO1001169</t>
  </si>
  <si>
    <t>RUMAH SEKRING BESAR</t>
  </si>
  <si>
    <t>EL1000280</t>
  </si>
  <si>
    <t>RUMAH SEKRING KECIL</t>
  </si>
  <si>
    <t>EL1000324</t>
  </si>
  <si>
    <t>SEKRING BESAR 10 AMPERE</t>
  </si>
  <si>
    <t>KO1000402</t>
  </si>
  <si>
    <t>SELANG GREASE TEKIRO</t>
  </si>
  <si>
    <t>KO1000026</t>
  </si>
  <si>
    <t>CONTAC CLEANER</t>
  </si>
  <si>
    <t>KO1001342</t>
  </si>
  <si>
    <t>DOUBLE TAPE</t>
  </si>
  <si>
    <t>KO1001551</t>
  </si>
  <si>
    <t>AKI (BASAH) N150 AH - 12 VOLT</t>
  </si>
  <si>
    <t>EL1000063</t>
  </si>
  <si>
    <t>ALARM MUNDUR DNMS - 12 - 48 V - H98</t>
  </si>
  <si>
    <t>KO1000601</t>
  </si>
  <si>
    <t>AIR AKI (ZUR)</t>
  </si>
  <si>
    <t>KO1000600</t>
  </si>
  <si>
    <t>AIR AKI TAMBAH</t>
  </si>
  <si>
    <t>KO1000680</t>
  </si>
  <si>
    <t>KAIN MAJUN , @50 KG</t>
  </si>
  <si>
    <t>KG</t>
  </si>
  <si>
    <t>KO1000642</t>
  </si>
  <si>
    <t>KANTONG PLASTIK SAMPAH</t>
  </si>
  <si>
    <t>EL1000301</t>
  </si>
  <si>
    <t>KABEL BODY BIRU 0.85MM P. 20 METER</t>
  </si>
  <si>
    <t>ROLL</t>
  </si>
  <si>
    <t>KO1001509</t>
  </si>
  <si>
    <t>KABEL BODY HIJAU 0,85MM P. 100 M</t>
  </si>
  <si>
    <t>METER</t>
  </si>
  <si>
    <t>EL1000618</t>
  </si>
  <si>
    <t>KABEL BODY HITAM 0,85MM</t>
  </si>
  <si>
    <t>KO1000661</t>
  </si>
  <si>
    <t>KABEL BODY KUNING 0,85 MM</t>
  </si>
  <si>
    <t>KO1000718</t>
  </si>
  <si>
    <t>KABEL BODY MERAH 0.85MM P. 100 M</t>
  </si>
  <si>
    <t>KO1000254</t>
  </si>
  <si>
    <t>KERTAS HVS F4 SIDU</t>
  </si>
  <si>
    <t>RIM</t>
  </si>
  <si>
    <t>KO1001035</t>
  </si>
  <si>
    <t>KAWAT LAS TEMBAGA (KUNINGAN)</t>
  </si>
  <si>
    <t>BATANG</t>
  </si>
  <si>
    <t>KO1000253</t>
  </si>
  <si>
    <t>KERTAS HVS A4 SIDU</t>
  </si>
  <si>
    <t>GREASE BURGARI</t>
  </si>
  <si>
    <t>KO1000417</t>
  </si>
  <si>
    <t>PAIL</t>
  </si>
  <si>
    <t>KO1000155</t>
  </si>
  <si>
    <t>GREASE COBRA</t>
  </si>
  <si>
    <t>KO1000697</t>
  </si>
  <si>
    <t>SARUNG TANGAN</t>
  </si>
  <si>
    <t>LUSIN</t>
  </si>
  <si>
    <t>KO1000767</t>
  </si>
  <si>
    <t>OLI POWER STEERING ATF - UK. 1 LITER</t>
  </si>
  <si>
    <t>LITER</t>
  </si>
  <si>
    <t>KO1000811</t>
  </si>
  <si>
    <t>OLI ENGINE 15W-40 , @209 LITER</t>
  </si>
  <si>
    <t>KO1001876</t>
  </si>
  <si>
    <t>OLI TRANSMAX OFFROAD 30 205 L CASTROL</t>
  </si>
  <si>
    <t>KO1002322</t>
  </si>
  <si>
    <t>OLI TRANSMAX OFFROAD 50 (TRANSMISI) 205 L CASTROL</t>
  </si>
  <si>
    <t>KO1001282</t>
  </si>
  <si>
    <t>OLI (GARDAN) , @209 LITER - 80W - 90</t>
  </si>
  <si>
    <t>LV1100049</t>
  </si>
  <si>
    <t>KAMPAS REM, FR 04465-YZZQ7 / 04465-0K360</t>
  </si>
  <si>
    <t>KO1000151</t>
  </si>
  <si>
    <t>KAWAT LAS RD-460 2,0 X 300 MM</t>
  </si>
  <si>
    <t>KO1000149</t>
  </si>
  <si>
    <t>KAWAT LAS RD- 460 2,6 X 350 MM</t>
  </si>
  <si>
    <t>KO1002596</t>
  </si>
  <si>
    <t>KAWAT LAS LB-52 3,2 X 400 M</t>
  </si>
  <si>
    <t>KO1000152</t>
  </si>
  <si>
    <t>KAWAT LAS LB-52U 3,2 X 400M</t>
  </si>
  <si>
    <t>KO1000153</t>
  </si>
  <si>
    <t>KAWAT LAS LB-52U,4,0 X 400 MM</t>
  </si>
  <si>
    <t>KETERANGAN</t>
  </si>
  <si>
    <t>FILTER</t>
  </si>
  <si>
    <t>DT2600052</t>
  </si>
  <si>
    <t>BEARING RODA LUAR (BEARING TAPPERED ROLLER) WG9100032311</t>
  </si>
  <si>
    <t>LV1100190</t>
  </si>
  <si>
    <t>BEARING RODA FR LUAR - 90366 - T0061</t>
  </si>
  <si>
    <t>GD1400005</t>
  </si>
  <si>
    <t>ELEMENT - SEM 5271995</t>
  </si>
  <si>
    <t>AL1000096</t>
  </si>
  <si>
    <t>ELEMENT FUEL FILTER 271 - 2010</t>
  </si>
  <si>
    <t>EX2300006</t>
  </si>
  <si>
    <t>ELEMENT PRIM EXC CAT 320 479 - 8989</t>
  </si>
  <si>
    <t>LV1100046</t>
  </si>
  <si>
    <t>FILTER ASSY OIL 90915-YZZZ2 / C - 1142 / 90915-YZZD4-82</t>
  </si>
  <si>
    <t>AL1000083</t>
  </si>
  <si>
    <t>FUEL FILTER 23390 - 0L070</t>
  </si>
  <si>
    <t>DT2500023</t>
  </si>
  <si>
    <t>FUEL FILTER VG1560080012</t>
  </si>
  <si>
    <t>DT2600007</t>
  </si>
  <si>
    <t>ELEMENT FUEL FILTER ST - 1000442956</t>
  </si>
  <si>
    <t>19</t>
  </si>
  <si>
    <t>KO1001171</t>
  </si>
  <si>
    <t>KABEL TIES 3,6 X 300MM</t>
  </si>
  <si>
    <t>GD1400006</t>
  </si>
  <si>
    <t>FILTER ELEMENT-AFT 5271993</t>
  </si>
  <si>
    <t>16</t>
  </si>
  <si>
    <t>GD1400007</t>
  </si>
  <si>
    <t>FILTER-F-SEM 5271994</t>
  </si>
  <si>
    <t>7</t>
  </si>
  <si>
    <t>0</t>
  </si>
  <si>
    <t>SEM 921/922</t>
  </si>
  <si>
    <t>GD1400008</t>
  </si>
  <si>
    <t>ELEMENT-SEM 5271999</t>
  </si>
  <si>
    <t>2</t>
  </si>
  <si>
    <t>GD1400010</t>
  </si>
  <si>
    <t>FILTER SEM 5362813</t>
  </si>
  <si>
    <t>GD1400011</t>
  </si>
  <si>
    <t>FILTER SEM 5367859</t>
  </si>
  <si>
    <t>6</t>
  </si>
  <si>
    <t>GD1400013</t>
  </si>
  <si>
    <t>ELEMENT - SEM 5275637</t>
  </si>
  <si>
    <t>4</t>
  </si>
  <si>
    <t>GD1400014</t>
  </si>
  <si>
    <t>ELEMENT - SEM 5363942</t>
  </si>
  <si>
    <t>GD1400019</t>
  </si>
  <si>
    <t>FILTER SEM 518 - 8099</t>
  </si>
  <si>
    <t>SEM 510</t>
  </si>
  <si>
    <t>GD1400018</t>
  </si>
  <si>
    <t>FILTER SEM 520 - 3012 / J8621420</t>
  </si>
  <si>
    <t>GD1400021</t>
  </si>
  <si>
    <t>FILTER-A-SEM 5651159</t>
  </si>
  <si>
    <t>EX2300001</t>
  </si>
  <si>
    <t>OIL FILTER 322 - 3155</t>
  </si>
  <si>
    <t>EX2300002</t>
  </si>
  <si>
    <t>FUEL FILTER 509 - 5694</t>
  </si>
  <si>
    <t>5</t>
  </si>
  <si>
    <t>EX2300003</t>
  </si>
  <si>
    <t>FUEL FILTER WATER SEPARATOR 523 - 4987</t>
  </si>
  <si>
    <t>EX3400014</t>
  </si>
  <si>
    <t>AIR FILTER EXC 320 479-8991</t>
  </si>
  <si>
    <t>1</t>
  </si>
  <si>
    <t>AD1200058</t>
  </si>
  <si>
    <t>ELEMENT AS 216-6676</t>
  </si>
  <si>
    <t>CAT 320 , 330 , 345</t>
  </si>
  <si>
    <t>EX2300005</t>
  </si>
  <si>
    <t>ELEMENT 590 - 9787 EXC CAT 320</t>
  </si>
  <si>
    <t>10</t>
  </si>
  <si>
    <t>EX4100020</t>
  </si>
  <si>
    <t>FILTER-AIR (PRIMARY) 330 496-9845</t>
  </si>
  <si>
    <t>EX4100021</t>
  </si>
  <si>
    <t>FILTER-AIR (SECONDARY) 330 496-9846</t>
  </si>
  <si>
    <t>EX4100003</t>
  </si>
  <si>
    <t>ELEMENT TUBE (OIL FILTER) 500 - 0483</t>
  </si>
  <si>
    <t>EX4100004</t>
  </si>
  <si>
    <t>ELEMENT FUEL FILTER 434 - 3928</t>
  </si>
  <si>
    <t>3</t>
  </si>
  <si>
    <t>EX4100002</t>
  </si>
  <si>
    <t>ELEMENT PRIM  345 496-9841</t>
  </si>
  <si>
    <t>EX4100001</t>
  </si>
  <si>
    <t>ELEMENT SEC 345 496-9842</t>
  </si>
  <si>
    <t>CO1300003</t>
  </si>
  <si>
    <t>FILTER A 7W - 2326</t>
  </si>
  <si>
    <t>CO1300001</t>
  </si>
  <si>
    <t>FILTER AS 460 - 0310 / J8621900</t>
  </si>
  <si>
    <t>CAT SC10GC</t>
  </si>
  <si>
    <t>CO1300004</t>
  </si>
  <si>
    <t>FUEL FILTER WATER SEPARATOR 1R - 1804</t>
  </si>
  <si>
    <t>CO1300006</t>
  </si>
  <si>
    <t>ELEMENT AS OUT (SARINGAN UDARA LUAR) 222 - 9020</t>
  </si>
  <si>
    <t>CO1300005</t>
  </si>
  <si>
    <t>ELEMENT AS IN (SARINGAN UDARA DALAM) 222 - 9021</t>
  </si>
  <si>
    <t>EX2300011</t>
  </si>
  <si>
    <t>ELEMENT FUEL 360 - 8960</t>
  </si>
  <si>
    <t>EX2300004</t>
  </si>
  <si>
    <t>ELEMENT AS - X 337-5270 / 571-5253 CAT</t>
  </si>
  <si>
    <t>CAT GR120</t>
  </si>
  <si>
    <t>EX2300009</t>
  </si>
  <si>
    <t>FUEL WATER SEPERATOR 439 - 5037</t>
  </si>
  <si>
    <t>EX2300010</t>
  </si>
  <si>
    <t>FILTER OLI 462 - 1171</t>
  </si>
  <si>
    <t>CO1300002</t>
  </si>
  <si>
    <t>FILTER 1G - 8878</t>
  </si>
  <si>
    <t>GD1400009</t>
  </si>
  <si>
    <t>ELEMENT-AS 1R-0774</t>
  </si>
  <si>
    <t>CO1400001</t>
  </si>
  <si>
    <t>FILTER AS-FU 441-5111</t>
  </si>
  <si>
    <t>CO1400002</t>
  </si>
  <si>
    <t>FILTER HYD 471-7003</t>
  </si>
  <si>
    <t>CAT 426F</t>
  </si>
  <si>
    <t>CO1400003</t>
  </si>
  <si>
    <t>ELEMENT HYD 362-1163</t>
  </si>
  <si>
    <t>BD2100017</t>
  </si>
  <si>
    <t>ELEMENT AS 528-0585</t>
  </si>
  <si>
    <t>BD2100016</t>
  </si>
  <si>
    <t>FILTER FRESH 417-8134</t>
  </si>
  <si>
    <t>BD2100015</t>
  </si>
  <si>
    <t>FILTER ELEMENT AIR 211-2660</t>
  </si>
  <si>
    <t>CAT 745</t>
  </si>
  <si>
    <t>AD1000012</t>
  </si>
  <si>
    <t>FILTER AIR 485-5435 ADT CAT</t>
  </si>
  <si>
    <t>AD1000011</t>
  </si>
  <si>
    <t>DOOR AS/FILT 484 - 9477</t>
  </si>
  <si>
    <t>EX3200023</t>
  </si>
  <si>
    <t>ELEMENT ASSY 20Y-04-J1130 16ALE KOMATSU PC 300-8MO</t>
  </si>
  <si>
    <t>EX2400004</t>
  </si>
  <si>
    <t>OIL FILTER 6736 - 51 - 5142/143</t>
  </si>
  <si>
    <t>KOMATSU PC 200/300</t>
  </si>
  <si>
    <t>EX2400027</t>
  </si>
  <si>
    <t>CATRIDGE (FUEL FILTER) 600 - 319 - 3750</t>
  </si>
  <si>
    <t>EX2400005</t>
  </si>
  <si>
    <t>FUEL FILTER WATER SEPARATOR 600 - 319 - 3610 / P50 - 5961</t>
  </si>
  <si>
    <t>EX3200012</t>
  </si>
  <si>
    <t>FILTER OLI 6742 - 01 - 4540</t>
  </si>
  <si>
    <t>BD2200013</t>
  </si>
  <si>
    <t>FILTER HYDRAULIC 423-60-45461 BD KOMATSU D85</t>
  </si>
  <si>
    <t>DT2200032</t>
  </si>
  <si>
    <t>FILTER SCREN 175-4911580</t>
  </si>
  <si>
    <t>BD2200011</t>
  </si>
  <si>
    <t>OIL FILTER 600 - 211 - 1231 BD KOMATSU D85</t>
  </si>
  <si>
    <t>BD2200009</t>
  </si>
  <si>
    <t>FUEL FILTER 600 - 311 - 8321 BD KOMATSU D85</t>
  </si>
  <si>
    <t>DOZER KOMATSU D85ESS</t>
  </si>
  <si>
    <t>EX2400009</t>
  </si>
  <si>
    <t>ELEMENT 421-60-35170 KOMATSU</t>
  </si>
  <si>
    <t>BD2200027</t>
  </si>
  <si>
    <t>BOSS 14Y-21-14141 BD D85-ESS</t>
  </si>
  <si>
    <t>BD2200006</t>
  </si>
  <si>
    <t>AIR CLEANER OUT 600 - 181 - 4311/ 600 - 181 - 4300</t>
  </si>
  <si>
    <t>EX2400002</t>
  </si>
  <si>
    <t>ELEMENT ASSY 600 - 185 - 4100 - KIT</t>
  </si>
  <si>
    <t>LV1100176</t>
  </si>
  <si>
    <t>ELEMENT AIR CLEANER 17801 - 0L040</t>
  </si>
  <si>
    <t>ALL UNIT HILUX</t>
  </si>
  <si>
    <t>LV1100237</t>
  </si>
  <si>
    <t>JOINT AS, LOWER BALL (BALL JOINT BAWAH) 43330-09510/09295</t>
  </si>
  <si>
    <t>AL1000135</t>
  </si>
  <si>
    <t>BALL JOINT UP (ATAS) 43310-09015</t>
  </si>
  <si>
    <t>KO1002196</t>
  </si>
  <si>
    <t>RELAY 12 VOLT K4 156700-3220</t>
  </si>
  <si>
    <t>LV1800002</t>
  </si>
  <si>
    <t>KAMPAS REM, RR 04495-0K120</t>
  </si>
  <si>
    <t>KO1000423</t>
  </si>
  <si>
    <t>KAWAT LAS RD 460 4,0 X 400 MM</t>
  </si>
  <si>
    <t>25</t>
  </si>
  <si>
    <t>KO1000150</t>
  </si>
  <si>
    <t>KAWAT LAS RD-460,3,2 X 350 MM</t>
  </si>
  <si>
    <t>WELDING</t>
  </si>
  <si>
    <t>KO1002578</t>
  </si>
  <si>
    <t>KAWAT LAS LB-52 4.0 X 400M</t>
  </si>
  <si>
    <t>KO1000422</t>
  </si>
  <si>
    <t>KAWAT LAS LB-52U, 2,6 MM</t>
  </si>
  <si>
    <t>30</t>
  </si>
  <si>
    <t>DT2600012</t>
  </si>
  <si>
    <t>FILTER OLI 1000428205</t>
  </si>
  <si>
    <t>40</t>
  </si>
  <si>
    <t>DT2600008</t>
  </si>
  <si>
    <t>FILTER FUEL WATER SEPERATOR (RACOR) ST - WG9925550182</t>
  </si>
  <si>
    <t>44</t>
  </si>
  <si>
    <t>AL1000094</t>
  </si>
  <si>
    <t>FUEL FILTER ST - VG1540080311/1000424916</t>
  </si>
  <si>
    <t>37</t>
  </si>
  <si>
    <t>LD1200035</t>
  </si>
  <si>
    <t>OIL FILTER ST-VG61000070005 / P55 - 3771</t>
  </si>
  <si>
    <t>39</t>
  </si>
  <si>
    <t>DT2600011</t>
  </si>
  <si>
    <t>FILTER AIR CLEANER IN ST - WG9725190103</t>
  </si>
  <si>
    <t>DT2600010</t>
  </si>
  <si>
    <t>FILTER AIR CLEANER OUT WG9725190102</t>
  </si>
  <si>
    <t>DT2600028</t>
  </si>
  <si>
    <t>RUBBER HOLDER ASSEMBLY ST-AZ9725520683</t>
  </si>
  <si>
    <t>DT2600053</t>
  </si>
  <si>
    <t>BEARING RODA DALAM (BEARING TAPPERED ROLLER) WG9100032314</t>
  </si>
  <si>
    <t>ALL UNIT HOWO HP 340/371/380/TX400</t>
  </si>
  <si>
    <t>DT2500050</t>
  </si>
  <si>
    <t>RETURN SPRING WG7117450317</t>
  </si>
  <si>
    <t>DT2500049</t>
  </si>
  <si>
    <t>WHEEL NUT WG7117340001</t>
  </si>
  <si>
    <t>17</t>
  </si>
  <si>
    <t>DT2500051</t>
  </si>
  <si>
    <t>WHEEL MOUNTING BOLD 712W45501-0143</t>
  </si>
  <si>
    <t>DT2500078</t>
  </si>
  <si>
    <t>WHEEL FRONT BOLD ST9100410104</t>
  </si>
  <si>
    <t>28</t>
  </si>
  <si>
    <t>DT2500054</t>
  </si>
  <si>
    <t>LINING BRAKE, RR WG9761450185</t>
  </si>
  <si>
    <t>DT2600101</t>
  </si>
  <si>
    <t>RIVET ST-WG9231340068</t>
  </si>
  <si>
    <t>82</t>
  </si>
  <si>
    <t>DT2500057</t>
  </si>
  <si>
    <t>REAR LEAF SPRING BOLT WG9725520789+013</t>
  </si>
  <si>
    <t>DT2500058</t>
  </si>
  <si>
    <t>REAR LEAF SPRING NUT WG9725520789+014</t>
  </si>
  <si>
    <t>DT2500075</t>
  </si>
  <si>
    <t>FRONT CENTER BOLT WG9931524011/12</t>
  </si>
  <si>
    <t>DT2500076</t>
  </si>
  <si>
    <t>FRONT CENTER NUT WG9931524011/13</t>
  </si>
  <si>
    <t>DT2500046</t>
  </si>
  <si>
    <t>BRACKET SPRING FR LH WG9925520307/1</t>
  </si>
  <si>
    <t>DT2500028</t>
  </si>
  <si>
    <t>BRACKET STABILIZER WG9750680075 HOWO 371-HP</t>
  </si>
  <si>
    <t>DT2600093</t>
  </si>
  <si>
    <t>TURBOCHARGER 1001265096</t>
  </si>
  <si>
    <t>EL1000052</t>
  </si>
  <si>
    <t>BALON LAMPU H4 24VOLT 100 WATT PHILIPS</t>
  </si>
  <si>
    <t>22</t>
  </si>
  <si>
    <t>EL1000046</t>
  </si>
  <si>
    <t>BALON LAMPU K2 24VOLT PHILIPS</t>
  </si>
  <si>
    <t>24</t>
  </si>
  <si>
    <t>EL1000278</t>
  </si>
  <si>
    <t>BALON LAMPU K1 24VOLT PHILIPS</t>
  </si>
  <si>
    <t>36</t>
  </si>
  <si>
    <t>EL1000049</t>
  </si>
  <si>
    <t>BALON LAMPU H3 PHILIPS - 12 VOLT</t>
  </si>
  <si>
    <t>11</t>
  </si>
  <si>
    <t>BALON LAMPU</t>
  </si>
  <si>
    <t>EL1000050</t>
  </si>
  <si>
    <t>BALON LAMPU H3 24 VOLT 100 WATT PHILIPS</t>
  </si>
  <si>
    <t>48</t>
  </si>
  <si>
    <t>EL1000253</t>
  </si>
  <si>
    <t>BALON LAMPU H1 24 VOLT PHILIPS</t>
  </si>
  <si>
    <t>45</t>
  </si>
  <si>
    <t>9</t>
  </si>
  <si>
    <t>KO1001101</t>
  </si>
  <si>
    <t>BALON LAMPU H11 24 VOLT</t>
  </si>
  <si>
    <t>HINO</t>
  </si>
  <si>
    <t>MN1000029</t>
  </si>
  <si>
    <t>KARET REM 04905-25040 HINO 300 X POWERMH</t>
  </si>
  <si>
    <t>FT1100038</t>
  </si>
  <si>
    <t>RING SEHER S1304-E0281</t>
  </si>
  <si>
    <t>SET</t>
  </si>
  <si>
    <t>KO1000741</t>
  </si>
  <si>
    <t>LEM BAUT LOCTITE (271)</t>
  </si>
  <si>
    <t>KO1000361</t>
  </si>
  <si>
    <t>LEM BESI DEXTONE</t>
  </si>
  <si>
    <t>KO1000031</t>
  </si>
  <si>
    <t>LEM FOX - 185 GRAM</t>
  </si>
  <si>
    <t>KALENG</t>
  </si>
  <si>
    <t>KO1000021</t>
  </si>
  <si>
    <t>LEM KOREA</t>
  </si>
  <si>
    <t>KO1000094</t>
  </si>
  <si>
    <t>MINYAK REM PRESTONE</t>
  </si>
  <si>
    <t>15</t>
  </si>
  <si>
    <t>KO1001228</t>
  </si>
  <si>
    <t>LEM THREEBOND GREY</t>
  </si>
  <si>
    <t>KO1000023</t>
  </si>
  <si>
    <t>LEM THREEBOND RED</t>
  </si>
  <si>
    <t>KO1000577</t>
  </si>
  <si>
    <t>MATA GURINDA POTONG , @20 PCS - 4 INCH</t>
  </si>
  <si>
    <t>LV1100115</t>
  </si>
  <si>
    <t>WHEEL NUT INDIKATOR - BL-21</t>
  </si>
  <si>
    <t>18</t>
  </si>
  <si>
    <t>EL1000391</t>
  </si>
  <si>
    <t>SEKRING BESAR 25 AMPERE</t>
  </si>
  <si>
    <t>EL1000477</t>
  </si>
  <si>
    <t>SEKRING BESAR 30 AMPERE</t>
  </si>
  <si>
    <t>63</t>
  </si>
  <si>
    <t>EL1000412</t>
  </si>
  <si>
    <t>SEKRING KECIL (KAKI PANJANG) 10 AMPERE</t>
  </si>
  <si>
    <t>EL1000413</t>
  </si>
  <si>
    <t>SEKRING KECIL (KAKI PANJANG) 15 AMPERE</t>
  </si>
  <si>
    <t>EL1000484</t>
  </si>
  <si>
    <t>SEKRING KECIL (KAKI PANJANG) 20 AMPERE</t>
  </si>
  <si>
    <t>33</t>
  </si>
  <si>
    <t>EL1000641</t>
  </si>
  <si>
    <t>SEKRING KECIL (KAKI PANJANG) 25 AMPERE</t>
  </si>
  <si>
    <t>68</t>
  </si>
  <si>
    <t>EL1000485</t>
  </si>
  <si>
    <t>SEKRING KECIL (KAKI PANJANG) 30 AMPERE</t>
  </si>
  <si>
    <t>125</t>
  </si>
  <si>
    <t>KO1000492</t>
  </si>
  <si>
    <t>SEKRING KECIL (KAKI PENDEK) 10 AMPERE</t>
  </si>
  <si>
    <t>EL1000476</t>
  </si>
  <si>
    <t>SEKRING KECIL (KAKI PENDEK) 15 AMPERE</t>
  </si>
  <si>
    <t>KO1000487</t>
  </si>
  <si>
    <t>SEKRING KECIL (KAKI PENDEK) 20 AMPERE</t>
  </si>
  <si>
    <t>EL1000640</t>
  </si>
  <si>
    <t>SEKRING KECIL (KAKI PENDEK) 25 AMPERE</t>
  </si>
  <si>
    <t>KO1000322</t>
  </si>
  <si>
    <t>SEKRING BESAR 20 AMPERE</t>
  </si>
  <si>
    <t>107</t>
  </si>
  <si>
    <t>KO1000323</t>
  </si>
  <si>
    <t>SEKRING BESAR 15 AMPERE</t>
  </si>
  <si>
    <t>KO1000966</t>
  </si>
  <si>
    <t>SIKAT BAJA KUNINGAN</t>
  </si>
  <si>
    <t>KO1000652</t>
  </si>
  <si>
    <t>SKUN BETINA</t>
  </si>
  <si>
    <t>31</t>
  </si>
  <si>
    <t>KO1000040</t>
  </si>
  <si>
    <t>AKI (BASAH) N120 AH - 12 VOLT</t>
  </si>
  <si>
    <t>KO1001522</t>
  </si>
  <si>
    <t>AKI (BASAH) N50 AH - 12 VOLT</t>
  </si>
  <si>
    <t>KO1001715</t>
  </si>
  <si>
    <t>AKI (BASAH) N70 - 12 VOLT</t>
  </si>
  <si>
    <t>KO1001572</t>
  </si>
  <si>
    <t>AMPLAS 100</t>
  </si>
  <si>
    <t>LEMBAR</t>
  </si>
  <si>
    <t>KO1000104</t>
  </si>
  <si>
    <t>AMPLAS 1000</t>
  </si>
  <si>
    <t>KO1001115</t>
  </si>
  <si>
    <t>AMPLAS 1200</t>
  </si>
  <si>
    <t>KO1000435</t>
  </si>
  <si>
    <t>AMPLAS 1500</t>
  </si>
  <si>
    <t>KO1000436</t>
  </si>
  <si>
    <t>AMPLAS 2000</t>
  </si>
  <si>
    <t>KO1000101</t>
  </si>
  <si>
    <t>AMPLAS 500</t>
  </si>
  <si>
    <t>21</t>
  </si>
  <si>
    <t>KO1001545</t>
  </si>
  <si>
    <t>AKI (BASAH) N100 AH - 12 VOLT</t>
  </si>
  <si>
    <t>KO1000103</t>
  </si>
  <si>
    <t>AMPLAS 800</t>
  </si>
  <si>
    <t>KO1001010</t>
  </si>
  <si>
    <t>KABEL BODY BIRU 0,85 MM P. 100 M</t>
  </si>
  <si>
    <t>50</t>
  </si>
  <si>
    <t>KO1000053</t>
  </si>
  <si>
    <t>KLEM 1 INCH</t>
  </si>
  <si>
    <t>KO1000058</t>
  </si>
  <si>
    <t>KLEM 3/4 INCH</t>
  </si>
  <si>
    <t>KO1000418</t>
  </si>
  <si>
    <t>KLAKSON KEONG 12 VOLT</t>
  </si>
  <si>
    <t>KO1000588</t>
  </si>
  <si>
    <t>KEPALA AKI FULL TIMAH</t>
  </si>
  <si>
    <t>8</t>
  </si>
  <si>
    <t>47</t>
  </si>
  <si>
    <t>EL1000386</t>
  </si>
  <si>
    <t>SEKRING KECIL (KAKI PENDEK) 30 AMPERE</t>
  </si>
  <si>
    <t>KO1000762</t>
  </si>
  <si>
    <t>OLI HYD , @209 LITER - 46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</si>
</sst>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rgb="FFFFFFFF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222222"/>
      <name val="Calibri"/>
      <family val="2"/>
      <scheme val="maj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4"/>
      </left>
      <right/>
      <top/>
      <bottom style="thin">
        <color rgb="FF000000"/>
      </bottom>
      <diagonal/>
    </border>
    <border>
      <left style="thin">
        <color theme="4"/>
      </left>
      <right style="thin">
        <color rgb="FF000000"/>
      </right>
      <top/>
      <bottom/>
      <diagonal/>
    </border>
    <border>
      <left style="thin">
        <color theme="4"/>
      </left>
      <right style="thin">
        <color rgb="FF000000"/>
      </right>
      <top/>
      <bottom style="thin">
        <color rgb="FF000000"/>
      </bottom>
      <diagonal/>
    </border>
    <border>
      <left style="thin">
        <color theme="4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/>
      <bottom/>
      <diagonal/>
    </border>
    <border>
      <left style="thin">
        <color theme="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4"/>
      </left>
      <right/>
      <top style="thin">
        <color indexed="64"/>
      </top>
      <bottom/>
      <diagonal/>
    </border>
    <border>
      <left style="thin">
        <color theme="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2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7" fillId="0" borderId="1" xfId="0" applyFont="1" applyBorder="1"/>
    <xf numFmtId="0" fontId="8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1" xfId="0" applyFont="1" applyFill="1" applyBorder="1"/>
    <xf numFmtId="0" fontId="0" fillId="3" borderId="9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6" fillId="3" borderId="1" xfId="0" applyFont="1" applyFill="1" applyBorder="1"/>
    <xf numFmtId="0" fontId="1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3" borderId="16" xfId="0" applyFill="1" applyBorder="1" applyAlignment="1">
      <alignment vertical="center"/>
    </xf>
    <xf numFmtId="0" fontId="0" fillId="3" borderId="16" xfId="0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7" fillId="3" borderId="0" xfId="0" applyFont="1" applyFill="1"/>
    <xf numFmtId="0" fontId="8" fillId="3" borderId="19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0" fillId="3" borderId="2" xfId="0" applyFill="1" applyBorder="1"/>
    <xf numFmtId="0" fontId="1" fillId="3" borderId="2" xfId="0" applyFont="1" applyFill="1" applyBorder="1"/>
    <xf numFmtId="0" fontId="0" fillId="3" borderId="4" xfId="0" applyFill="1" applyBorder="1" applyAlignment="1">
      <alignment horizontal="center"/>
    </xf>
    <xf numFmtId="0" fontId="7" fillId="3" borderId="2" xfId="0" applyFont="1" applyFill="1" applyBorder="1"/>
    <xf numFmtId="0" fontId="1" fillId="3" borderId="21" xfId="0" applyFont="1" applyFill="1" applyBorder="1" applyAlignme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0" fillId="3" borderId="1" xfId="0" applyFill="1" applyBorder="1"/>
    <xf numFmtId="0" fontId="1" fillId="3" borderId="3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1" fillId="3" borderId="23" xfId="0" applyFont="1" applyFill="1" applyBorder="1" applyAlignment="1">
      <alignment horizontal="center" vertical="center"/>
    </xf>
    <xf numFmtId="0" fontId="0" fillId="3" borderId="24" xfId="0" applyFill="1" applyBorder="1"/>
    <xf numFmtId="0" fontId="0" fillId="3" borderId="24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1" fillId="3" borderId="2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0" fillId="0" borderId="0" xfId="0" applyNumberFormat="1"/>
    <xf numFmtId="1" fontId="0" fillId="3" borderId="0" xfId="0" applyNumberFormat="1" applyFill="1"/>
    <xf numFmtId="1" fontId="0" fillId="3" borderId="26" xfId="0" applyNumberFormat="1" applyFill="1" applyBorder="1"/>
  </cellXfs>
  <cellStyles count="1">
    <cellStyle name="Normal" xfId="0" builtinId="0"/>
  </cellStyles>
  <dxfs count="16">
    <dxf>
      <numFmt numFmtId="0" formatCode="General"/>
      <alignment horizont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Lembar1-style" pivot="0" count="4" xr9:uid="{73938F48-44F2-426F-8CB3-5AC603981909}">
      <tableStyleElement type="wholeTable" size="0" dxfId="15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LAPORAN%20STOCK%20(2).xlsx" TargetMode="External"/><Relationship Id="rId1" Type="http://schemas.openxmlformats.org/officeDocument/2006/relationships/externalLinkPath" Target="/Users/User/Downloads/LAPORAN%20STOCK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LAPORAN%20STOCK%20(2)%20(Repaired).xlsx" TargetMode="External"/><Relationship Id="rId1" Type="http://schemas.openxmlformats.org/officeDocument/2006/relationships/externalLinkPath" Target="/Users/User/Downloads/LAPORAN%20STOCK%20(2)%20(Repai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PORAN STOK"/>
      <sheetName val="PREP RAB"/>
      <sheetName val="REFERENSI RAB"/>
    </sheetNames>
    <sheetDataSet>
      <sheetData sheetId="0"/>
      <sheetData sheetId="1" refreshError="1"/>
      <sheetData sheetId="2">
        <row r="1">
          <cell r="A1" t="str">
            <v>ITEM ID</v>
          </cell>
        </row>
        <row r="2">
          <cell r="A2" t="str">
            <v>KO1001025</v>
          </cell>
        </row>
        <row r="3">
          <cell r="A3" t="str">
            <v>EX5100019</v>
          </cell>
        </row>
        <row r="4">
          <cell r="A4" t="str">
            <v>KO1001282</v>
          </cell>
        </row>
        <row r="5">
          <cell r="A5" t="str">
            <v>KO1000811</v>
          </cell>
        </row>
        <row r="6">
          <cell r="A6" t="str">
            <v>KO1000762</v>
          </cell>
        </row>
        <row r="7">
          <cell r="A7" t="str">
            <v>KO1000767</v>
          </cell>
        </row>
        <row r="8">
          <cell r="A8" t="str">
            <v>KO1001876</v>
          </cell>
        </row>
        <row r="9">
          <cell r="A9" t="str">
            <v>KO1002322</v>
          </cell>
        </row>
        <row r="10">
          <cell r="A10" t="str">
            <v>KO1000260</v>
          </cell>
        </row>
        <row r="11">
          <cell r="A11" t="str">
            <v>TL1000297</v>
          </cell>
        </row>
        <row r="12">
          <cell r="A12" t="str">
            <v>IN1000065</v>
          </cell>
        </row>
        <row r="13">
          <cell r="A13" t="str">
            <v>IN1000085</v>
          </cell>
        </row>
        <row r="14">
          <cell r="A14" t="str">
            <v>BD2200011</v>
          </cell>
        </row>
        <row r="15">
          <cell r="A15" t="str">
            <v>LD1200035</v>
          </cell>
        </row>
        <row r="16">
          <cell r="A16" t="str">
            <v>DT2100207</v>
          </cell>
        </row>
        <row r="17">
          <cell r="A17" t="str">
            <v>KO1001460</v>
          </cell>
        </row>
        <row r="18">
          <cell r="A18" t="str">
            <v>KO1001068</v>
          </cell>
        </row>
        <row r="19">
          <cell r="A19" t="str">
            <v>KO1001264</v>
          </cell>
        </row>
        <row r="20">
          <cell r="A20" t="str">
            <v>KO1001069</v>
          </cell>
        </row>
        <row r="21">
          <cell r="A21" t="str">
            <v>KO1001067</v>
          </cell>
        </row>
        <row r="22">
          <cell r="A22" t="str">
            <v>EX2300082</v>
          </cell>
        </row>
        <row r="23">
          <cell r="A23" t="str">
            <v>EX2400004</v>
          </cell>
        </row>
        <row r="24">
          <cell r="A24" t="str">
            <v>EX2300001</v>
          </cell>
        </row>
        <row r="25">
          <cell r="A25" t="str">
            <v>DT2300004</v>
          </cell>
        </row>
        <row r="26">
          <cell r="A26" t="str">
            <v>DT2100156</v>
          </cell>
        </row>
        <row r="27">
          <cell r="A27" t="str">
            <v>KO1001071</v>
          </cell>
        </row>
        <row r="28">
          <cell r="A28" t="str">
            <v>KO1001399</v>
          </cell>
        </row>
        <row r="29">
          <cell r="A29" t="str">
            <v>KO1001400</v>
          </cell>
        </row>
        <row r="30">
          <cell r="A30" t="str">
            <v>DT2500050</v>
          </cell>
        </row>
        <row r="31">
          <cell r="A31" t="str">
            <v>DT2700143</v>
          </cell>
        </row>
        <row r="32">
          <cell r="A32" t="str">
            <v>EX5300008</v>
          </cell>
        </row>
        <row r="33">
          <cell r="A33" t="str">
            <v>EX5300010</v>
          </cell>
        </row>
        <row r="34">
          <cell r="A34" t="str">
            <v>KO1000660</v>
          </cell>
        </row>
        <row r="35">
          <cell r="A35" t="str">
            <v>KO1000752</v>
          </cell>
        </row>
        <row r="36">
          <cell r="A36" t="str">
            <v>KO1000774</v>
          </cell>
        </row>
        <row r="37">
          <cell r="A37" t="str">
            <v>KO1000478</v>
          </cell>
        </row>
        <row r="38">
          <cell r="A38" t="str">
            <v>KO1000640</v>
          </cell>
        </row>
        <row r="39">
          <cell r="A39" t="str">
            <v>KO1000448</v>
          </cell>
        </row>
        <row r="40">
          <cell r="A40" t="str">
            <v>EX5300012</v>
          </cell>
        </row>
        <row r="41">
          <cell r="A41" t="str">
            <v>EL1000035</v>
          </cell>
        </row>
        <row r="42">
          <cell r="A42" t="str">
            <v>EL1000158</v>
          </cell>
        </row>
        <row r="43">
          <cell r="A43" t="str">
            <v>KO1001402</v>
          </cell>
        </row>
        <row r="44">
          <cell r="A44" t="str">
            <v>KO1000743</v>
          </cell>
        </row>
        <row r="45">
          <cell r="A45" t="str">
            <v>KO1001397</v>
          </cell>
        </row>
        <row r="46">
          <cell r="A46" t="str">
            <v>KO1000876</v>
          </cell>
        </row>
        <row r="47">
          <cell r="A47" t="str">
            <v>KO1001063</v>
          </cell>
        </row>
        <row r="48">
          <cell r="A48" t="str">
            <v>EX2200003</v>
          </cell>
        </row>
        <row r="49">
          <cell r="A49" t="str">
            <v>KO1000550</v>
          </cell>
        </row>
        <row r="50">
          <cell r="A50" t="str">
            <v>KO1000342</v>
          </cell>
        </row>
        <row r="51">
          <cell r="A51" t="str">
            <v>KO1000343</v>
          </cell>
        </row>
        <row r="52">
          <cell r="A52" t="str">
            <v>KO1000473</v>
          </cell>
        </row>
        <row r="53">
          <cell r="A53" t="str">
            <v>KO1000818</v>
          </cell>
        </row>
        <row r="54">
          <cell r="A54" t="str">
            <v>EX3400012</v>
          </cell>
        </row>
        <row r="55">
          <cell r="A55" t="str">
            <v>EL1000155</v>
          </cell>
        </row>
        <row r="56">
          <cell r="A56" t="str">
            <v>EL1000154</v>
          </cell>
        </row>
        <row r="57">
          <cell r="A57" t="str">
            <v>EL1000059</v>
          </cell>
        </row>
        <row r="58">
          <cell r="A58" t="str">
            <v>EL1000060</v>
          </cell>
        </row>
        <row r="59">
          <cell r="A59" t="str">
            <v>DT2600030</v>
          </cell>
        </row>
        <row r="60">
          <cell r="A60" t="str">
            <v>DT2600029</v>
          </cell>
        </row>
        <row r="61">
          <cell r="A61" t="str">
            <v>DT2700144</v>
          </cell>
        </row>
        <row r="62">
          <cell r="A62" t="str">
            <v>KO1000741</v>
          </cell>
        </row>
        <row r="63">
          <cell r="A63" t="str">
            <v>KO1000361</v>
          </cell>
        </row>
        <row r="64">
          <cell r="A64" t="str">
            <v>KO1000031</v>
          </cell>
        </row>
        <row r="65">
          <cell r="A65" t="str">
            <v>KO1000500</v>
          </cell>
        </row>
        <row r="66">
          <cell r="A66" t="str">
            <v>KO1000033</v>
          </cell>
        </row>
        <row r="67">
          <cell r="A67" t="str">
            <v>KO1002205</v>
          </cell>
        </row>
        <row r="68">
          <cell r="A68" t="str">
            <v>KO1001074</v>
          </cell>
        </row>
        <row r="69">
          <cell r="A69" t="str">
            <v>DT2100234</v>
          </cell>
        </row>
        <row r="70">
          <cell r="A70" t="str">
            <v>KO1001072</v>
          </cell>
        </row>
        <row r="71">
          <cell r="A71" t="str">
            <v>KO1002299</v>
          </cell>
        </row>
        <row r="72">
          <cell r="A72" t="str">
            <v>KO1001464</v>
          </cell>
        </row>
        <row r="73">
          <cell r="A73" t="str">
            <v>KO1002125</v>
          </cell>
        </row>
        <row r="74">
          <cell r="A74" t="str">
            <v>KO1002213</v>
          </cell>
        </row>
        <row r="75">
          <cell r="A75" t="str">
            <v>KO1000338</v>
          </cell>
        </row>
        <row r="76">
          <cell r="A76" t="str">
            <v>TL1000102</v>
          </cell>
        </row>
        <row r="77">
          <cell r="A77" t="str">
            <v>KO1000032</v>
          </cell>
        </row>
        <row r="78">
          <cell r="A78" t="str">
            <v>KO1001637</v>
          </cell>
        </row>
        <row r="79">
          <cell r="A79" t="str">
            <v>KO1000366</v>
          </cell>
        </row>
        <row r="80">
          <cell r="A80" t="str">
            <v>KO1000021</v>
          </cell>
        </row>
        <row r="81">
          <cell r="A81" t="str">
            <v>KO1000594</v>
          </cell>
        </row>
        <row r="82">
          <cell r="A82" t="str">
            <v>KO1000094</v>
          </cell>
        </row>
        <row r="83">
          <cell r="A83" t="str">
            <v>KO1000659</v>
          </cell>
        </row>
        <row r="84">
          <cell r="A84" t="str">
            <v>KO1000655</v>
          </cell>
        </row>
        <row r="85">
          <cell r="A85" t="str">
            <v>KO1001722</v>
          </cell>
        </row>
        <row r="86">
          <cell r="A86" t="str">
            <v>KO1000717</v>
          </cell>
        </row>
        <row r="87">
          <cell r="A87" t="str">
            <v>KO1001724</v>
          </cell>
        </row>
        <row r="88">
          <cell r="A88" t="str">
            <v>KO1000664</v>
          </cell>
        </row>
        <row r="89">
          <cell r="A89" t="str">
            <v>KO1001726</v>
          </cell>
        </row>
        <row r="90">
          <cell r="A90" t="str">
            <v>KO1001424</v>
          </cell>
        </row>
        <row r="91">
          <cell r="A91" t="str">
            <v>KO1000860</v>
          </cell>
        </row>
        <row r="92">
          <cell r="A92" t="str">
            <v>KO1002488</v>
          </cell>
        </row>
        <row r="93">
          <cell r="A93" t="str">
            <v>KO1000428</v>
          </cell>
        </row>
        <row r="94">
          <cell r="A94" t="str">
            <v>KO1001228</v>
          </cell>
        </row>
        <row r="95">
          <cell r="A95" t="str">
            <v>KO1000023</v>
          </cell>
        </row>
        <row r="96">
          <cell r="A96" t="str">
            <v>DT2700139</v>
          </cell>
        </row>
        <row r="97">
          <cell r="A97" t="str">
            <v>KO1000678</v>
          </cell>
        </row>
        <row r="98">
          <cell r="A98" t="str">
            <v>KO1000761</v>
          </cell>
        </row>
        <row r="99">
          <cell r="A99" t="str">
            <v>KO1000377</v>
          </cell>
        </row>
        <row r="100">
          <cell r="A100" t="str">
            <v>KO1000379</v>
          </cell>
        </row>
        <row r="101">
          <cell r="A101" t="str">
            <v>KO1001535</v>
          </cell>
        </row>
        <row r="102">
          <cell r="A102" t="str">
            <v>KO1000755</v>
          </cell>
        </row>
        <row r="103">
          <cell r="A103" t="str">
            <v>KO1000577</v>
          </cell>
        </row>
        <row r="104">
          <cell r="A104" t="str">
            <v>KO1000641</v>
          </cell>
        </row>
        <row r="105">
          <cell r="A105" t="str">
            <v>KO1001156</v>
          </cell>
        </row>
        <row r="106">
          <cell r="A106" t="str">
            <v>DT2600028</v>
          </cell>
        </row>
        <row r="107">
          <cell r="A107" t="str">
            <v>DT2100146</v>
          </cell>
        </row>
        <row r="108">
          <cell r="A108" t="str">
            <v>KO1000215</v>
          </cell>
        </row>
        <row r="109">
          <cell r="A109" t="str">
            <v>KO1000217</v>
          </cell>
        </row>
        <row r="110">
          <cell r="A110" t="str">
            <v>KO1000249</v>
          </cell>
        </row>
        <row r="111">
          <cell r="A111" t="str">
            <v>KO1000250</v>
          </cell>
        </row>
        <row r="112">
          <cell r="A112" t="str">
            <v>KO1000247</v>
          </cell>
        </row>
        <row r="113">
          <cell r="A113" t="str">
            <v>KO1000248</v>
          </cell>
        </row>
        <row r="114">
          <cell r="A114" t="str">
            <v>KO1001896</v>
          </cell>
        </row>
        <row r="115">
          <cell r="A115" t="str">
            <v>KO1001891</v>
          </cell>
        </row>
        <row r="116">
          <cell r="A116" t="str">
            <v>KO1000904</v>
          </cell>
        </row>
        <row r="117">
          <cell r="A117" t="str">
            <v>KO1002487</v>
          </cell>
        </row>
        <row r="118">
          <cell r="A118" t="str">
            <v>TL1000241</v>
          </cell>
        </row>
        <row r="119">
          <cell r="A119" t="str">
            <v>KO1000216</v>
          </cell>
        </row>
        <row r="120">
          <cell r="A120" t="str">
            <v>KO1001357</v>
          </cell>
        </row>
        <row r="121">
          <cell r="A121" t="str">
            <v>DT2100317</v>
          </cell>
        </row>
        <row r="122">
          <cell r="A122" t="str">
            <v>DT2100214</v>
          </cell>
        </row>
        <row r="123">
          <cell r="A123" t="str">
            <v>DT2100248</v>
          </cell>
        </row>
        <row r="124">
          <cell r="A124" t="str">
            <v>DT2100306</v>
          </cell>
        </row>
        <row r="125">
          <cell r="A125" t="str">
            <v>DT2100308</v>
          </cell>
        </row>
        <row r="126">
          <cell r="A126" t="str">
            <v>DT2100195</v>
          </cell>
        </row>
        <row r="127">
          <cell r="A127" t="str">
            <v>DT2100309</v>
          </cell>
        </row>
        <row r="128">
          <cell r="A128" t="str">
            <v>DT2100311</v>
          </cell>
        </row>
        <row r="129">
          <cell r="A129" t="str">
            <v>DT2100310</v>
          </cell>
        </row>
        <row r="130">
          <cell r="A130" t="str">
            <v>KO1001473</v>
          </cell>
        </row>
        <row r="131">
          <cell r="A131" t="str">
            <v>KO1001523</v>
          </cell>
        </row>
        <row r="132">
          <cell r="A132" t="str">
            <v>EX3400018</v>
          </cell>
        </row>
        <row r="133">
          <cell r="A133" t="str">
            <v>EX3400020</v>
          </cell>
        </row>
        <row r="134">
          <cell r="A134" t="str">
            <v>KO1002334</v>
          </cell>
        </row>
        <row r="135">
          <cell r="A135" t="str">
            <v>TR1000091</v>
          </cell>
        </row>
        <row r="136">
          <cell r="A136" t="str">
            <v>DT2700010</v>
          </cell>
        </row>
        <row r="137">
          <cell r="A137" t="str">
            <v>DT2700011</v>
          </cell>
        </row>
        <row r="138">
          <cell r="A138" t="str">
            <v>EX5100024</v>
          </cell>
        </row>
        <row r="139">
          <cell r="A139" t="str">
            <v>KO1000622</v>
          </cell>
        </row>
        <row r="140">
          <cell r="A140" t="str">
            <v>KO1000341</v>
          </cell>
        </row>
        <row r="141">
          <cell r="A141" t="str">
            <v>DT2500078</v>
          </cell>
        </row>
        <row r="142">
          <cell r="A142" t="str">
            <v>DT2500051</v>
          </cell>
        </row>
        <row r="143">
          <cell r="A143" t="str">
            <v>DT2500049</v>
          </cell>
        </row>
        <row r="144">
          <cell r="A144" t="str">
            <v>LV1100115</v>
          </cell>
        </row>
        <row r="145">
          <cell r="A145" t="str">
            <v>KO1002022</v>
          </cell>
        </row>
        <row r="146">
          <cell r="A146" t="str">
            <v>TR1000090</v>
          </cell>
        </row>
        <row r="147">
          <cell r="A147" t="str">
            <v>TR1000001</v>
          </cell>
        </row>
        <row r="148">
          <cell r="A148" t="str">
            <v>TR1000010</v>
          </cell>
        </row>
        <row r="149">
          <cell r="A149" t="str">
            <v>TR1000011</v>
          </cell>
        </row>
        <row r="150">
          <cell r="A150" t="str">
            <v>KO1000346</v>
          </cell>
        </row>
        <row r="151">
          <cell r="A151" t="str">
            <v>TR1000120</v>
          </cell>
        </row>
        <row r="152">
          <cell r="A152" t="str">
            <v>TR1000014</v>
          </cell>
        </row>
        <row r="153">
          <cell r="A153" t="str">
            <v>TR1000005</v>
          </cell>
        </row>
        <row r="154">
          <cell r="A154" t="str">
            <v>TR1000076</v>
          </cell>
        </row>
        <row r="155">
          <cell r="A155" t="str">
            <v>TR1000070</v>
          </cell>
        </row>
        <row r="156">
          <cell r="A156" t="str">
            <v>DT2100201</v>
          </cell>
        </row>
        <row r="157">
          <cell r="A157" t="str">
            <v>TR1000061</v>
          </cell>
        </row>
        <row r="158">
          <cell r="A158" t="str">
            <v>TR1000059</v>
          </cell>
        </row>
        <row r="159">
          <cell r="A159" t="str">
            <v>KO1002212</v>
          </cell>
        </row>
        <row r="160">
          <cell r="A160" t="str">
            <v>DT2500042</v>
          </cell>
        </row>
        <row r="161">
          <cell r="A161" t="str">
            <v>EL1000391</v>
          </cell>
        </row>
        <row r="162">
          <cell r="A162" t="str">
            <v>EL1000477</v>
          </cell>
        </row>
        <row r="163">
          <cell r="A163" t="str">
            <v>EL1000412</v>
          </cell>
        </row>
        <row r="164">
          <cell r="A164" t="str">
            <v>EL1000413</v>
          </cell>
        </row>
        <row r="165">
          <cell r="A165" t="str">
            <v>EL1000484</v>
          </cell>
        </row>
        <row r="166">
          <cell r="A166" t="str">
            <v>EL1000641</v>
          </cell>
        </row>
        <row r="167">
          <cell r="A167" t="str">
            <v>EL1000485</v>
          </cell>
        </row>
        <row r="168">
          <cell r="A168" t="str">
            <v>KO1000492</v>
          </cell>
        </row>
        <row r="169">
          <cell r="A169" t="str">
            <v>EL1000476</v>
          </cell>
        </row>
        <row r="170">
          <cell r="A170" t="str">
            <v>KO1000487</v>
          </cell>
        </row>
        <row r="171">
          <cell r="A171" t="str">
            <v>EL1000640</v>
          </cell>
        </row>
        <row r="172">
          <cell r="A172" t="str">
            <v>KO1000322</v>
          </cell>
        </row>
        <row r="173">
          <cell r="A173" t="str">
            <v>KO1000323</v>
          </cell>
        </row>
        <row r="174">
          <cell r="A174" t="str">
            <v>DT2600042</v>
          </cell>
        </row>
        <row r="175">
          <cell r="A175" t="str">
            <v>KO1001169</v>
          </cell>
        </row>
        <row r="176">
          <cell r="A176" t="str">
            <v>EL1000280</v>
          </cell>
        </row>
        <row r="177">
          <cell r="A177" t="str">
            <v>KO1000298</v>
          </cell>
        </row>
        <row r="178">
          <cell r="A178" t="str">
            <v>DT2700138</v>
          </cell>
        </row>
        <row r="179">
          <cell r="A179" t="str">
            <v>KO1000697</v>
          </cell>
        </row>
        <row r="180">
          <cell r="A180" t="str">
            <v>KO1000548</v>
          </cell>
        </row>
        <row r="181">
          <cell r="A181" t="str">
            <v>EX5300009</v>
          </cell>
        </row>
        <row r="182">
          <cell r="A182" t="str">
            <v>EX5300011</v>
          </cell>
        </row>
        <row r="183">
          <cell r="A183" t="str">
            <v>EX5300013</v>
          </cell>
        </row>
        <row r="184">
          <cell r="A184" t="str">
            <v>EL1000324</v>
          </cell>
        </row>
        <row r="185">
          <cell r="A185" t="str">
            <v>EL1000386</v>
          </cell>
        </row>
        <row r="186">
          <cell r="A186" t="str">
            <v>KO1000402</v>
          </cell>
        </row>
        <row r="187">
          <cell r="A187" t="str">
            <v>KO1002486</v>
          </cell>
        </row>
        <row r="188">
          <cell r="A188" t="str">
            <v>DT2500021</v>
          </cell>
        </row>
        <row r="189">
          <cell r="A189" t="str">
            <v>DT2500026</v>
          </cell>
        </row>
        <row r="190">
          <cell r="A190" t="str">
            <v>DT2200027</v>
          </cell>
        </row>
        <row r="191">
          <cell r="A191" t="str">
            <v>DT2100171</v>
          </cell>
        </row>
        <row r="192">
          <cell r="A192" t="str">
            <v>DT2100141</v>
          </cell>
        </row>
        <row r="193">
          <cell r="A193" t="str">
            <v>DT2600016</v>
          </cell>
        </row>
        <row r="194">
          <cell r="A194" t="str">
            <v>DT2100186</v>
          </cell>
        </row>
        <row r="195">
          <cell r="A195" t="str">
            <v>DT2600017</v>
          </cell>
        </row>
        <row r="196">
          <cell r="A196" t="str">
            <v>DT2100140</v>
          </cell>
        </row>
        <row r="197">
          <cell r="A197" t="str">
            <v>DT2600018</v>
          </cell>
        </row>
        <row r="198">
          <cell r="A198" t="str">
            <v>DT2100169</v>
          </cell>
        </row>
        <row r="199">
          <cell r="A199" t="str">
            <v>DT2500020</v>
          </cell>
        </row>
        <row r="200">
          <cell r="A200" t="str">
            <v>DT2500019</v>
          </cell>
        </row>
        <row r="201">
          <cell r="A201" t="str">
            <v>KO1000190</v>
          </cell>
        </row>
        <row r="202">
          <cell r="A202" t="str">
            <v>KO1000189</v>
          </cell>
        </row>
        <row r="203">
          <cell r="A203" t="str">
            <v>KO1002307</v>
          </cell>
        </row>
        <row r="204">
          <cell r="A204" t="str">
            <v>KO1000188</v>
          </cell>
        </row>
        <row r="205">
          <cell r="A205" t="str">
            <v>KO1000966</v>
          </cell>
        </row>
        <row r="206">
          <cell r="A206" t="str">
            <v>KO1000652</v>
          </cell>
        </row>
        <row r="207">
          <cell r="A207" t="str">
            <v>KO1001994</v>
          </cell>
        </row>
        <row r="208">
          <cell r="A208" t="str">
            <v>KO1002216</v>
          </cell>
        </row>
        <row r="209">
          <cell r="A209" t="str">
            <v>KO1002215</v>
          </cell>
        </row>
        <row r="210">
          <cell r="A210" t="str">
            <v>KO1000587</v>
          </cell>
        </row>
        <row r="211">
          <cell r="A211" t="str">
            <v>KO1000258</v>
          </cell>
        </row>
        <row r="212">
          <cell r="A212" t="str">
            <v>DT2600019</v>
          </cell>
        </row>
        <row r="213">
          <cell r="A213" t="str">
            <v>KO1001903</v>
          </cell>
        </row>
        <row r="214">
          <cell r="A214" t="str">
            <v>KO1000026</v>
          </cell>
        </row>
        <row r="215">
          <cell r="A215" t="str">
            <v>LV1100080</v>
          </cell>
        </row>
        <row r="216">
          <cell r="A216" t="str">
            <v>DT2200014</v>
          </cell>
        </row>
        <row r="217">
          <cell r="A217" t="str">
            <v>LV1100156</v>
          </cell>
        </row>
        <row r="218">
          <cell r="A218" t="str">
            <v>DT2200012</v>
          </cell>
        </row>
        <row r="219">
          <cell r="A219" t="str">
            <v>KO1001338</v>
          </cell>
        </row>
        <row r="220">
          <cell r="A220" t="str">
            <v>KO1000211</v>
          </cell>
        </row>
        <row r="221">
          <cell r="A221" t="str">
            <v>KO1001342</v>
          </cell>
        </row>
        <row r="222">
          <cell r="A222" t="str">
            <v>GD1400016</v>
          </cell>
        </row>
        <row r="223">
          <cell r="A223" t="str">
            <v>GD1400005</v>
          </cell>
        </row>
        <row r="224">
          <cell r="A224" t="str">
            <v>LV1100176</v>
          </cell>
        </row>
        <row r="225">
          <cell r="A225" t="str">
            <v>LV1100079</v>
          </cell>
        </row>
        <row r="226">
          <cell r="A226" t="str">
            <v>EX2400027</v>
          </cell>
        </row>
        <row r="227">
          <cell r="A227" t="str">
            <v>KO1000738</v>
          </cell>
        </row>
        <row r="228">
          <cell r="A228" t="str">
            <v>EX2300039</v>
          </cell>
        </row>
        <row r="229">
          <cell r="A229" t="str">
            <v>DT2100320</v>
          </cell>
        </row>
        <row r="230">
          <cell r="A230" t="str">
            <v>DT2600053</v>
          </cell>
        </row>
        <row r="231">
          <cell r="A231" t="str">
            <v>LV1100190</v>
          </cell>
        </row>
        <row r="232">
          <cell r="A232" t="str">
            <v>DT2600052</v>
          </cell>
        </row>
        <row r="233">
          <cell r="A233" t="str">
            <v>EX3400010</v>
          </cell>
        </row>
        <row r="234">
          <cell r="A234" t="str">
            <v>KO1000795</v>
          </cell>
        </row>
        <row r="235">
          <cell r="A235" t="str">
            <v>KO1000471</v>
          </cell>
        </row>
        <row r="236">
          <cell r="A236" t="str">
            <v>LV1100048</v>
          </cell>
        </row>
        <row r="237">
          <cell r="A237" t="str">
            <v>EX3400019</v>
          </cell>
        </row>
        <row r="238">
          <cell r="A238" t="str">
            <v>DT2200085</v>
          </cell>
        </row>
        <row r="239">
          <cell r="A239" t="str">
            <v>BD2100017</v>
          </cell>
        </row>
        <row r="240">
          <cell r="A240" t="str">
            <v>DT2100157</v>
          </cell>
        </row>
        <row r="241">
          <cell r="A241" t="str">
            <v>EX4100002</v>
          </cell>
        </row>
        <row r="242">
          <cell r="A242" t="str">
            <v>EX2300006</v>
          </cell>
        </row>
        <row r="243">
          <cell r="A243" t="str">
            <v>LT1100003</v>
          </cell>
        </row>
        <row r="244">
          <cell r="A244" t="str">
            <v>LT1100005</v>
          </cell>
        </row>
        <row r="245">
          <cell r="A245" t="str">
            <v>EX4100001</v>
          </cell>
        </row>
        <row r="246">
          <cell r="A246" t="str">
            <v>LT1100087</v>
          </cell>
        </row>
        <row r="247">
          <cell r="A247" t="str">
            <v>LT1100176</v>
          </cell>
        </row>
        <row r="248">
          <cell r="A248" t="str">
            <v>LT1100085</v>
          </cell>
        </row>
        <row r="249">
          <cell r="A249" t="str">
            <v>EX4100003</v>
          </cell>
        </row>
        <row r="250">
          <cell r="A250" t="str">
            <v>GD1400008</v>
          </cell>
        </row>
        <row r="251">
          <cell r="A251" t="str">
            <v>LT1100002</v>
          </cell>
        </row>
        <row r="252">
          <cell r="A252" t="str">
            <v>EX5100018</v>
          </cell>
        </row>
        <row r="253">
          <cell r="A253" t="str">
            <v>CO1300005</v>
          </cell>
        </row>
        <row r="254">
          <cell r="A254" t="str">
            <v>CO1300006</v>
          </cell>
        </row>
        <row r="255">
          <cell r="A255" t="str">
            <v>EX2400001</v>
          </cell>
        </row>
        <row r="256">
          <cell r="A256" t="str">
            <v>EX3200023</v>
          </cell>
        </row>
        <row r="257">
          <cell r="A257" t="str">
            <v>EX5100045</v>
          </cell>
        </row>
        <row r="258">
          <cell r="A258" t="str">
            <v>EX2300011</v>
          </cell>
        </row>
        <row r="259">
          <cell r="A259" t="str">
            <v>EX4100004</v>
          </cell>
        </row>
        <row r="260">
          <cell r="A260" t="str">
            <v>DT2100154</v>
          </cell>
        </row>
        <row r="261">
          <cell r="A261" t="str">
            <v>AL1000096</v>
          </cell>
        </row>
        <row r="262">
          <cell r="A262" t="str">
            <v>LT1100086</v>
          </cell>
        </row>
        <row r="263">
          <cell r="A263" t="str">
            <v>DT2600007</v>
          </cell>
        </row>
        <row r="264">
          <cell r="A264" t="str">
            <v>DT2100003</v>
          </cell>
        </row>
        <row r="265">
          <cell r="A265" t="str">
            <v>KO1001299</v>
          </cell>
        </row>
        <row r="266">
          <cell r="A266" t="str">
            <v>EL1000058</v>
          </cell>
        </row>
        <row r="267">
          <cell r="A267" t="str">
            <v>KO1000040</v>
          </cell>
        </row>
        <row r="268">
          <cell r="A268" t="str">
            <v>KO1001551</v>
          </cell>
        </row>
        <row r="269">
          <cell r="A269" t="str">
            <v>KO1001522</v>
          </cell>
        </row>
        <row r="270">
          <cell r="A270" t="str">
            <v>KO1001715</v>
          </cell>
        </row>
        <row r="271">
          <cell r="A271" t="str">
            <v>EL1000063</v>
          </cell>
        </row>
        <row r="272">
          <cell r="A272" t="str">
            <v>KO1001572</v>
          </cell>
        </row>
        <row r="273">
          <cell r="A273" t="str">
            <v>KO1000104</v>
          </cell>
        </row>
        <row r="274">
          <cell r="A274" t="str">
            <v>KO1001115</v>
          </cell>
        </row>
        <row r="275">
          <cell r="A275" t="str">
            <v>KO1000435</v>
          </cell>
        </row>
        <row r="276">
          <cell r="A276" t="str">
            <v>KO1000436</v>
          </cell>
        </row>
        <row r="277">
          <cell r="A277" t="str">
            <v>KO1000101</v>
          </cell>
        </row>
        <row r="278">
          <cell r="A278" t="str">
            <v>KO1001545</v>
          </cell>
        </row>
        <row r="279">
          <cell r="A279" t="str">
            <v>KO1002214</v>
          </cell>
        </row>
        <row r="280">
          <cell r="A280" t="str">
            <v>KO1000601</v>
          </cell>
        </row>
        <row r="281">
          <cell r="A281" t="str">
            <v>BD2200007</v>
          </cell>
        </row>
        <row r="282">
          <cell r="A282" t="str">
            <v>EX3200013</v>
          </cell>
        </row>
        <row r="283">
          <cell r="A283" t="str">
            <v>EX2400013</v>
          </cell>
        </row>
        <row r="284">
          <cell r="A284" t="str">
            <v>BD2200006</v>
          </cell>
        </row>
        <row r="285">
          <cell r="A285" t="str">
            <v>KO1000462</v>
          </cell>
        </row>
        <row r="286">
          <cell r="A286" t="str">
            <v>EX3400014</v>
          </cell>
        </row>
        <row r="287">
          <cell r="A287" t="str">
            <v>TL00100012</v>
          </cell>
        </row>
        <row r="288">
          <cell r="A288" t="str">
            <v>TL00100011</v>
          </cell>
        </row>
        <row r="289">
          <cell r="A289" t="str">
            <v>KO1002489</v>
          </cell>
        </row>
        <row r="290">
          <cell r="A290" t="str">
            <v>KO1000103</v>
          </cell>
        </row>
        <row r="291">
          <cell r="A291" t="str">
            <v>KO1000308</v>
          </cell>
        </row>
        <row r="292">
          <cell r="A292" t="str">
            <v>EL1000048</v>
          </cell>
        </row>
        <row r="293">
          <cell r="A293" t="str">
            <v>EL1000047</v>
          </cell>
        </row>
        <row r="294">
          <cell r="A294" t="str">
            <v>KO1000371</v>
          </cell>
        </row>
        <row r="295">
          <cell r="A295" t="str">
            <v>EL1000217</v>
          </cell>
        </row>
        <row r="296">
          <cell r="A296" t="str">
            <v>KO1001244</v>
          </cell>
        </row>
        <row r="297">
          <cell r="A297" t="str">
            <v>KO1000464</v>
          </cell>
        </row>
        <row r="298">
          <cell r="A298" t="str">
            <v>EL1000727</v>
          </cell>
        </row>
        <row r="299">
          <cell r="A299" t="str">
            <v>KO1000716</v>
          </cell>
        </row>
        <row r="300">
          <cell r="A300" t="str">
            <v>KO1001444</v>
          </cell>
        </row>
        <row r="301">
          <cell r="A301" t="str">
            <v>EL1000046</v>
          </cell>
        </row>
        <row r="302">
          <cell r="A302" t="str">
            <v>EL1000278</v>
          </cell>
        </row>
        <row r="303">
          <cell r="A303" t="str">
            <v>KO1000507</v>
          </cell>
        </row>
        <row r="304">
          <cell r="A304" t="str">
            <v>KO1000309</v>
          </cell>
        </row>
        <row r="305">
          <cell r="A305" t="str">
            <v>KO1000676</v>
          </cell>
        </row>
        <row r="306">
          <cell r="A306" t="str">
            <v>EL1000253</v>
          </cell>
        </row>
        <row r="307">
          <cell r="A307" t="str">
            <v>EL1000363</v>
          </cell>
        </row>
        <row r="308">
          <cell r="A308" t="str">
            <v>KO1001101</v>
          </cell>
        </row>
        <row r="309">
          <cell r="A309" t="str">
            <v>EL1000049</v>
          </cell>
        </row>
        <row r="310">
          <cell r="A310" t="str">
            <v>EL1000050</v>
          </cell>
        </row>
        <row r="311">
          <cell r="A311" t="str">
            <v>EL1000051</v>
          </cell>
        </row>
        <row r="312">
          <cell r="A312" t="str">
            <v>EL1000052</v>
          </cell>
        </row>
        <row r="313">
          <cell r="A313" t="str">
            <v>EL1000043</v>
          </cell>
        </row>
        <row r="314">
          <cell r="A314" t="str">
            <v>KO1000232</v>
          </cell>
        </row>
        <row r="315">
          <cell r="A315" t="str">
            <v>AD1000010</v>
          </cell>
        </row>
        <row r="316">
          <cell r="A316" t="str">
            <v>KO1001949</v>
          </cell>
        </row>
        <row r="317">
          <cell r="A317" t="str">
            <v>KO1000888</v>
          </cell>
        </row>
        <row r="318">
          <cell r="A318" t="str">
            <v>KO1000359</v>
          </cell>
        </row>
        <row r="319">
          <cell r="A319" t="str">
            <v>KO1000360</v>
          </cell>
        </row>
        <row r="320">
          <cell r="A320" t="str">
            <v>KO1000680</v>
          </cell>
        </row>
        <row r="321">
          <cell r="A321" t="str">
            <v>DT2100034</v>
          </cell>
        </row>
        <row r="322">
          <cell r="A322" t="str">
            <v>DT2200142</v>
          </cell>
        </row>
        <row r="323">
          <cell r="A323" t="str">
            <v>LV1800003</v>
          </cell>
        </row>
        <row r="324">
          <cell r="A324" t="str">
            <v>DT2100033</v>
          </cell>
        </row>
        <row r="325">
          <cell r="A325" t="str">
            <v>LV1100049</v>
          </cell>
        </row>
        <row r="326">
          <cell r="A326" t="str">
            <v>LV1800002</v>
          </cell>
        </row>
        <row r="327">
          <cell r="A327" t="str">
            <v>KO1000642</v>
          </cell>
        </row>
        <row r="328">
          <cell r="A328" t="str">
            <v>KO1000887</v>
          </cell>
        </row>
        <row r="329">
          <cell r="A329" t="str">
            <v>KO1001171</v>
          </cell>
        </row>
        <row r="330">
          <cell r="A330" t="str">
            <v>KO1001951</v>
          </cell>
        </row>
        <row r="331">
          <cell r="A331" t="str">
            <v>KO1000923</v>
          </cell>
        </row>
        <row r="332">
          <cell r="A332" t="str">
            <v>EX2300033</v>
          </cell>
        </row>
        <row r="333">
          <cell r="A333" t="str">
            <v>KO1001901</v>
          </cell>
        </row>
        <row r="334">
          <cell r="A334" t="str">
            <v>KO1000480</v>
          </cell>
        </row>
        <row r="335">
          <cell r="A335" t="str">
            <v>KO1001010</v>
          </cell>
        </row>
        <row r="336">
          <cell r="A336" t="str">
            <v>EL1000301</v>
          </cell>
        </row>
        <row r="337">
          <cell r="A337" t="str">
            <v>KO1001509</v>
          </cell>
        </row>
        <row r="338">
          <cell r="A338" t="str">
            <v>EL1000618</v>
          </cell>
        </row>
        <row r="339">
          <cell r="A339" t="str">
            <v>KO1000661</v>
          </cell>
        </row>
        <row r="340">
          <cell r="A340" t="str">
            <v>KO1000718</v>
          </cell>
        </row>
        <row r="341">
          <cell r="A341" t="str">
            <v>DT2100163</v>
          </cell>
        </row>
        <row r="342">
          <cell r="A342" t="str">
            <v>KO1000153</v>
          </cell>
        </row>
        <row r="343">
          <cell r="A343" t="str">
            <v>KO1000151</v>
          </cell>
        </row>
        <row r="344">
          <cell r="A344" t="str">
            <v>EL1000527</v>
          </cell>
        </row>
        <row r="345">
          <cell r="A345" t="str">
            <v>KO1001624</v>
          </cell>
        </row>
        <row r="346">
          <cell r="A346" t="str">
            <v>AL1000043</v>
          </cell>
        </row>
        <row r="347">
          <cell r="A347" t="str">
            <v>KO1000053</v>
          </cell>
        </row>
        <row r="348">
          <cell r="A348" t="str">
            <v>KO1000057</v>
          </cell>
        </row>
        <row r="349">
          <cell r="A349" t="str">
            <v>AL1000044</v>
          </cell>
        </row>
        <row r="350">
          <cell r="A350" t="str">
            <v>KO1000054</v>
          </cell>
        </row>
        <row r="351">
          <cell r="A351" t="str">
            <v>KO1000058</v>
          </cell>
        </row>
        <row r="352">
          <cell r="A352" t="str">
            <v>KO1000055</v>
          </cell>
        </row>
        <row r="353">
          <cell r="A353" t="str">
            <v>KO1000753</v>
          </cell>
        </row>
        <row r="354">
          <cell r="A354" t="str">
            <v>KO1000832</v>
          </cell>
        </row>
        <row r="355">
          <cell r="A355" t="str">
            <v>KO1000418</v>
          </cell>
        </row>
        <row r="356">
          <cell r="A356" t="str">
            <v>KO1000254</v>
          </cell>
        </row>
        <row r="357">
          <cell r="A357" t="str">
            <v>KO1000149</v>
          </cell>
        </row>
        <row r="358">
          <cell r="A358" t="str">
            <v>KO1000150</v>
          </cell>
        </row>
        <row r="359">
          <cell r="A359" t="str">
            <v>KO1000423</v>
          </cell>
        </row>
        <row r="360">
          <cell r="A360" t="str">
            <v>KO1000152</v>
          </cell>
        </row>
        <row r="361">
          <cell r="A361" t="str">
            <v>KO1000422</v>
          </cell>
        </row>
        <row r="362">
          <cell r="A362" t="str">
            <v>KO1002578</v>
          </cell>
        </row>
        <row r="363">
          <cell r="A363" t="str">
            <v>KO1000005</v>
          </cell>
        </row>
        <row r="364">
          <cell r="A364" t="str">
            <v>KO1002596</v>
          </cell>
        </row>
        <row r="365">
          <cell r="A365" t="str">
            <v>KO1001035</v>
          </cell>
        </row>
        <row r="366">
          <cell r="A366" t="str">
            <v>KO1000588</v>
          </cell>
        </row>
        <row r="367">
          <cell r="A367" t="str">
            <v>KO1000253</v>
          </cell>
        </row>
        <row r="368">
          <cell r="A368" t="str">
            <v>KO1000059</v>
          </cell>
        </row>
        <row r="369">
          <cell r="A369" t="str">
            <v>CO1300003</v>
          </cell>
        </row>
        <row r="370">
          <cell r="A370" t="str">
            <v>EX3200012</v>
          </cell>
        </row>
        <row r="371">
          <cell r="A371" t="str">
            <v>AL1000054</v>
          </cell>
        </row>
        <row r="372">
          <cell r="A372" t="str">
            <v>EX2300010</v>
          </cell>
        </row>
        <row r="373">
          <cell r="A373" t="str">
            <v>DT2600012</v>
          </cell>
        </row>
        <row r="374">
          <cell r="A374" t="str">
            <v>GD1400019</v>
          </cell>
        </row>
        <row r="375">
          <cell r="A375" t="str">
            <v>GD1400018</v>
          </cell>
        </row>
        <row r="376">
          <cell r="A376" t="str">
            <v>AD1000002</v>
          </cell>
        </row>
        <row r="377">
          <cell r="A377" t="str">
            <v>GD1400021</v>
          </cell>
        </row>
        <row r="378">
          <cell r="A378" t="str">
            <v>EX4100020</v>
          </cell>
        </row>
        <row r="379">
          <cell r="A379" t="str">
            <v>EX4100021</v>
          </cell>
        </row>
        <row r="380">
          <cell r="A380" t="str">
            <v>GD1400007</v>
          </cell>
        </row>
        <row r="381">
          <cell r="A381" t="str">
            <v>AD1000003</v>
          </cell>
        </row>
        <row r="382">
          <cell r="A382" t="str">
            <v>CO1400002</v>
          </cell>
        </row>
        <row r="383">
          <cell r="A383" t="str">
            <v>DT2100303</v>
          </cell>
        </row>
        <row r="384">
          <cell r="A384" t="str">
            <v>DT2600011</v>
          </cell>
        </row>
        <row r="385">
          <cell r="A385" t="str">
            <v>DT2100302</v>
          </cell>
        </row>
        <row r="386">
          <cell r="A386" t="str">
            <v>DT2600010</v>
          </cell>
        </row>
        <row r="387">
          <cell r="A387" t="str">
            <v>CO1300001</v>
          </cell>
        </row>
        <row r="388">
          <cell r="A388" t="str">
            <v>CO1400001</v>
          </cell>
        </row>
        <row r="389">
          <cell r="A389" t="str">
            <v>LV1100046</v>
          </cell>
        </row>
        <row r="390">
          <cell r="A390" t="str">
            <v>BD2100015</v>
          </cell>
        </row>
        <row r="391">
          <cell r="A391" t="str">
            <v>GD1400006</v>
          </cell>
        </row>
        <row r="392">
          <cell r="A392" t="str">
            <v>BD2100016</v>
          </cell>
        </row>
        <row r="393">
          <cell r="A393" t="str">
            <v>DT2600008</v>
          </cell>
        </row>
        <row r="394">
          <cell r="A394" t="str">
            <v>EX3200042</v>
          </cell>
        </row>
        <row r="395">
          <cell r="A395" t="str">
            <v>DT2200072</v>
          </cell>
        </row>
        <row r="396">
          <cell r="A396" t="str">
            <v>CO1300004</v>
          </cell>
        </row>
        <row r="397">
          <cell r="A397" t="str">
            <v>AD1000006</v>
          </cell>
        </row>
        <row r="398">
          <cell r="A398" t="str">
            <v>EX2300009</v>
          </cell>
        </row>
        <row r="399">
          <cell r="A399" t="str">
            <v>KO1001173</v>
          </cell>
        </row>
        <row r="400">
          <cell r="A400" t="str">
            <v>KO1001476</v>
          </cell>
        </row>
        <row r="401">
          <cell r="A401" t="str">
            <v>KO1000417</v>
          </cell>
        </row>
        <row r="402">
          <cell r="A402" t="str">
            <v>KO1000155</v>
          </cell>
        </row>
        <row r="403">
          <cell r="A403" t="str">
            <v>DT2700091</v>
          </cell>
        </row>
        <row r="404">
          <cell r="A404" t="str">
            <v>DT2700031</v>
          </cell>
        </row>
        <row r="405">
          <cell r="A405" t="str">
            <v>KO1000812</v>
          </cell>
        </row>
        <row r="406">
          <cell r="A406" t="str">
            <v>KO1000310</v>
          </cell>
        </row>
        <row r="407">
          <cell r="A407" t="str">
            <v>EX2300003</v>
          </cell>
        </row>
        <row r="408">
          <cell r="A408" t="str">
            <v>EX2400005</v>
          </cell>
        </row>
        <row r="409">
          <cell r="A409" t="str">
            <v>DT2300050</v>
          </cell>
        </row>
        <row r="410">
          <cell r="A410" t="str">
            <v>EX2300002</v>
          </cell>
        </row>
        <row r="411">
          <cell r="A411" t="str">
            <v>DT2100005</v>
          </cell>
        </row>
        <row r="412">
          <cell r="A412" t="str">
            <v>AL1000083</v>
          </cell>
        </row>
        <row r="413">
          <cell r="A413" t="str">
            <v>DT2500023</v>
          </cell>
        </row>
        <row r="414">
          <cell r="A414" t="str">
            <v>AL1000094</v>
          </cell>
        </row>
        <row r="415">
          <cell r="A415" t="str">
            <v>BD2200009</v>
          </cell>
        </row>
        <row r="416">
          <cell r="A416" t="str">
            <v>AD1000005</v>
          </cell>
        </row>
        <row r="417">
          <cell r="A417" t="str">
            <v>AD1200022</v>
          </cell>
        </row>
        <row r="418">
          <cell r="A418" t="str">
            <v>EX5100020</v>
          </cell>
        </row>
        <row r="419">
          <cell r="A419" t="str">
            <v>DT2100204</v>
          </cell>
        </row>
        <row r="420">
          <cell r="A420" t="str">
            <v>DT2300051</v>
          </cell>
        </row>
        <row r="421">
          <cell r="A421" t="str">
            <v>KO1000600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PORAN STOK"/>
      <sheetName val="PREP RAB"/>
      <sheetName val="REFERENSI RAB"/>
    </sheetNames>
    <sheetDataSet>
      <sheetData sheetId="0">
        <row r="4">
          <cell r="C4" t="str">
            <v>GD1400006</v>
          </cell>
        </row>
      </sheetData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4A033-DF53-4D9D-B3F4-3C82102E1644}" name="Tabel142" displayName="Tabel142" ref="A3:G62" totalsRowShown="0" headerRowDxfId="11" totalsRowDxfId="9" headerRowBorderDxfId="10" totalsRowBorderDxfId="8">
  <autoFilter ref="A3:G62" xr:uid="{00000000-000C-0000-FFFF-FFFF00000000}"/>
  <sortState xmlns:xlrd2="http://schemas.microsoft.com/office/spreadsheetml/2017/richdata2" ref="A4:G62">
    <sortCondition ref="C3:C62"/>
  </sortState>
  <tableColumns count="7">
    <tableColumn id="2" xr3:uid="{94FEED48-4B6D-4AAE-90AE-FA1B0386F1FA}" name="STATUS">
      <calculatedColumnFormula>IF(ISNUMBER(MATCH(B4,'[1]REFERENSI RAB'!$A:$A,0)),"RAB","REGULER")</calculatedColumnFormula>
    </tableColumn>
    <tableColumn id="9" xr3:uid="{25333F06-6B14-4312-ABF1-2E3DD75E9013}" name="ITEM ID" dataDxfId="7"/>
    <tableColumn id="3" xr3:uid="{17BF7065-AA47-4E11-9092-7D4DF818EA5C}" name="SPESIFIKASI" dataDxfId="6"/>
    <tableColumn id="10" xr3:uid="{9E056C05-BD93-49BA-985F-E0EA430B1D99}" name="SATUAN" dataDxfId="2"/>
    <tableColumn id="4" xr3:uid="{BC8E94A0-2B2A-4D4B-9FC6-AE9BC6FA50F7}" name="STOCK SISTEM" dataDxfId="1">
      <calculatedColumnFormula>INDEX([2]!Tabel14[STOCK SISTEM],MATCH(B4,[2]!Tabel14[ITEM ID],0))</calculatedColumnFormula>
    </tableColumn>
    <tableColumn id="5" xr3:uid="{4FEEE5CF-39AE-4F74-BD5E-68BB41ACAD51}" name="STOCK ACTUAL" dataDxfId="0" totalsRowDxfId="5">
      <calculatedColumnFormula>INDEX([1]!Tabel14[STOCK ACTUAL],MATCH(Tabel142[[#This Row],[ITEM ID]],[1]!Tabel14[ITEM ID],0))</calculatedColumnFormula>
    </tableColumn>
    <tableColumn id="6" xr3:uid="{2A8CCC03-4843-40DA-B9B4-15F92339707B}" name="SELISIH" dataDxfId="4" totalsRowDxfId="3"/>
  </tableColumns>
  <tableStyleInfo name="Lembar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49342-7947-45B9-836C-B8DC4076B2EC}">
  <dimension ref="A1:K894"/>
  <sheetViews>
    <sheetView tabSelected="1" zoomScale="85" zoomScaleNormal="85" workbookViewId="0">
      <selection activeCell="F16" sqref="F16"/>
    </sheetView>
  </sheetViews>
  <sheetFormatPr defaultColWidth="14.42578125" defaultRowHeight="15" customHeight="1" x14ac:dyDescent="0.25"/>
  <cols>
    <col min="1" max="1" width="16" customWidth="1"/>
    <col min="2" max="2" width="16.42578125" customWidth="1"/>
    <col min="3" max="3" width="62.5703125" bestFit="1" customWidth="1"/>
    <col min="4" max="4" width="14.5703125" style="13" bestFit="1" customWidth="1"/>
    <col min="5" max="5" width="19.7109375" customWidth="1"/>
    <col min="6" max="6" width="14.85546875" customWidth="1"/>
    <col min="7" max="7" width="8.7109375" customWidth="1"/>
    <col min="8" max="8" width="22.5703125" customWidth="1"/>
    <col min="9" max="9" width="14.28515625" customWidth="1"/>
    <col min="10" max="24" width="8.7109375" customWidth="1"/>
  </cols>
  <sheetData>
    <row r="1" spans="1:11" ht="14.25" customHeight="1" x14ac:dyDescent="0.25">
      <c r="A1" s="15"/>
      <c r="B1" s="15"/>
      <c r="C1" s="15"/>
      <c r="D1" s="15"/>
      <c r="E1" s="15"/>
      <c r="F1" s="15"/>
    </row>
    <row r="2" spans="1:11" ht="14.25" customHeight="1" x14ac:dyDescent="0.25">
      <c r="A2" s="16"/>
      <c r="B2" s="16"/>
      <c r="C2" s="16"/>
      <c r="D2" s="16"/>
      <c r="E2" s="16"/>
      <c r="F2" s="16"/>
    </row>
    <row r="3" spans="1:11" ht="14.25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7" t="s">
        <v>112</v>
      </c>
    </row>
    <row r="4" spans="1:11" ht="14.25" customHeight="1" x14ac:dyDescent="0.25">
      <c r="A4" s="7" t="str">
        <f>IF(ISNUMBER(MATCH(B4,'[1]REFERENSI RAB'!$A:$A,0)),"RAB","REGULER")</f>
        <v>RAB</v>
      </c>
      <c r="B4" s="2" t="s">
        <v>52</v>
      </c>
      <c r="C4" s="14" t="s">
        <v>53</v>
      </c>
      <c r="D4" s="5" t="s">
        <v>24</v>
      </c>
      <c r="E4" s="74" t="str">
        <f>INDEX([2]!Tabel14[STOCK SISTEM],MATCH(B4,[2]!Tabel14[ITEM ID],0))</f>
        <v>8</v>
      </c>
      <c r="F4" s="5">
        <f>INDEX([1]!Tabel14[STOCK ACTUAL],MATCH(Tabel142[[#This Row],[ITEM ID]],[1]!Tabel14[ITEM ID],0))</f>
        <v>8</v>
      </c>
      <c r="G4" s="7"/>
      <c r="H4" s="73" t="s">
        <v>14</v>
      </c>
      <c r="I4" t="str">
        <f>IF(ISNUMBER(MATCH(Tabel142[ITEM ID],[2]!Tabel14[ITEM ID],0)),"ADA","TIDAK ADA")</f>
        <v>ADA</v>
      </c>
    </row>
    <row r="5" spans="1:11" ht="14.25" customHeight="1" x14ac:dyDescent="0.25">
      <c r="A5" s="7" t="str">
        <f>IF(ISNUMBER(MATCH(B5,'[1]REFERENSI RAB'!$A:$A,0)),"RAB","REGULER")</f>
        <v>RAB</v>
      </c>
      <c r="B5" s="2" t="s">
        <v>54</v>
      </c>
      <c r="C5" s="14" t="s">
        <v>55</v>
      </c>
      <c r="D5" s="5" t="s">
        <v>24</v>
      </c>
      <c r="E5" s="74" t="str">
        <f>INDEX([2]!Tabel14[STOCK SISTEM],MATCH(B5,[2]!Tabel14[ITEM ID],0))</f>
        <v>0</v>
      </c>
      <c r="F5" s="5">
        <f>INDEX([1]!Tabel14[STOCK ACTUAL],MATCH(Tabel142[[#This Row],[ITEM ID]],[1]!Tabel14[ITEM ID],0))</f>
        <v>0</v>
      </c>
      <c r="G5" s="7"/>
      <c r="H5" s="73"/>
      <c r="I5" t="str">
        <f>IF(ISNUMBER(MATCH(Tabel142[ITEM ID],[2]!Tabel14[ITEM ID],0)),"ADA","TIDAK ADA")</f>
        <v>ADA</v>
      </c>
    </row>
    <row r="6" spans="1:11" ht="14.25" customHeight="1" x14ac:dyDescent="0.25">
      <c r="A6" s="7" t="str">
        <f>IF(ISNUMBER(MATCH(B6,'[1]REFERENSI RAB'!$A:$A,0)),"RAB","REGULER")</f>
        <v>RAB</v>
      </c>
      <c r="B6" s="2" t="s">
        <v>48</v>
      </c>
      <c r="C6" s="14" t="s">
        <v>49</v>
      </c>
      <c r="D6" s="5" t="s">
        <v>9</v>
      </c>
      <c r="E6" s="74" t="str">
        <f>INDEX([2]!Tabel14[STOCK SISTEM],MATCH(B6,[2]!Tabel14[ITEM ID],0))</f>
        <v>0</v>
      </c>
      <c r="F6" s="5">
        <f>INDEX([1]!Tabel14[STOCK ACTUAL],MATCH(Tabel142[[#This Row],[ITEM ID]],[1]!Tabel14[ITEM ID],0))</f>
        <v>0</v>
      </c>
      <c r="G6" s="7"/>
      <c r="H6" s="73"/>
      <c r="I6" t="str">
        <f>IF(ISNUMBER(MATCH(Tabel142[ITEM ID],[2]!Tabel14[ITEM ID],0)),"ADA","TIDAK ADA")</f>
        <v>ADA</v>
      </c>
    </row>
    <row r="7" spans="1:11" ht="14.25" customHeight="1" x14ac:dyDescent="0.25">
      <c r="A7" s="7" t="str">
        <f>IF(ISNUMBER(MATCH(B7,'[1]REFERENSI RAB'!$A:$A,0)),"RAB","REGULER")</f>
        <v>RAB</v>
      </c>
      <c r="B7" s="2" t="s">
        <v>50</v>
      </c>
      <c r="C7" s="14" t="s">
        <v>51</v>
      </c>
      <c r="D7" s="5" t="s">
        <v>9</v>
      </c>
      <c r="E7" s="74" t="str">
        <f>INDEX([2]!Tabel14[STOCK SISTEM],MATCH(B7,[2]!Tabel14[ITEM ID],0))</f>
        <v>0</v>
      </c>
      <c r="F7" s="5">
        <f>INDEX([1]!Tabel14[STOCK ACTUAL],MATCH(Tabel142[[#This Row],[ITEM ID]],[1]!Tabel14[ITEM ID],0))</f>
        <v>0</v>
      </c>
      <c r="G7" s="7"/>
      <c r="H7" s="73"/>
      <c r="I7" t="str">
        <f>IF(ISNUMBER(MATCH(Tabel142[ITEM ID],[2]!Tabel14[ITEM ID],0)),"ADA","TIDAK ADA")</f>
        <v>ADA</v>
      </c>
    </row>
    <row r="8" spans="1:11" ht="14.25" customHeight="1" x14ac:dyDescent="0.25">
      <c r="A8" s="7" t="str">
        <f>IF(ISNUMBER(MATCH(B8,'[1]REFERENSI RAB'!$A:$A,0)),"RAB","REGULER")</f>
        <v>RAB</v>
      </c>
      <c r="B8" s="3" t="s">
        <v>7</v>
      </c>
      <c r="C8" s="7" t="s">
        <v>8</v>
      </c>
      <c r="D8" s="5" t="s">
        <v>9</v>
      </c>
      <c r="E8" s="74" t="str">
        <f>INDEX([2]!Tabel14[STOCK SISTEM],MATCH(B8,[2]!Tabel14[ITEM ID],0))</f>
        <v>0</v>
      </c>
      <c r="F8" s="5">
        <f>INDEX([1]!Tabel14[STOCK ACTUAL],MATCH(Tabel142[[#This Row],[ITEM ID]],[1]!Tabel14[ITEM ID],0))</f>
        <v>0</v>
      </c>
      <c r="G8" s="6"/>
      <c r="H8" s="73"/>
      <c r="I8" t="str">
        <f>IF(ISNUMBER(MATCH(Tabel142[ITEM ID],[2]!Tabel14[ITEM ID],0)),"ADA","TIDAK ADA")</f>
        <v>ADA</v>
      </c>
    </row>
    <row r="9" spans="1:11" ht="14.25" customHeight="1" x14ac:dyDescent="0.25">
      <c r="A9" s="7" t="str">
        <f>IF(ISNUMBER(MATCH(B9,'[1]REFERENSI RAB'!$A:$A,0)),"RAB","REGULER")</f>
        <v>RAB</v>
      </c>
      <c r="B9" s="7" t="s">
        <v>116</v>
      </c>
      <c r="C9" s="7" t="s">
        <v>117</v>
      </c>
      <c r="D9" s="5" t="s">
        <v>9</v>
      </c>
      <c r="E9" s="74" t="str">
        <f>INDEX([2]!Tabel14[STOCK SISTEM],MATCH(B9,[2]!Tabel14[ITEM ID],0))</f>
        <v>0</v>
      </c>
      <c r="F9" s="5">
        <f>INDEX([1]!Tabel14[STOCK ACTUAL],MATCH(Tabel142[[#This Row],[ITEM ID]],[1]!Tabel14[ITEM ID],0))</f>
        <v>0</v>
      </c>
      <c r="G9" s="6"/>
      <c r="H9" s="73"/>
      <c r="I9" t="str">
        <f>IF(ISNUMBER(MATCH(Tabel142[ITEM ID],[2]!Tabel14[ITEM ID],0)),"ADA","TIDAK ADA")</f>
        <v>ADA</v>
      </c>
    </row>
    <row r="10" spans="1:11" ht="14.25" customHeight="1" x14ac:dyDescent="0.25">
      <c r="A10" s="7" t="str">
        <f>IF(ISNUMBER(MATCH(B10,'[1]REFERENSI RAB'!$A:$A,0)),"RAB","REGULER")</f>
        <v>RAB</v>
      </c>
      <c r="B10" s="2" t="s">
        <v>114</v>
      </c>
      <c r="C10" s="21" t="s">
        <v>115</v>
      </c>
      <c r="D10" s="5" t="s">
        <v>9</v>
      </c>
      <c r="E10" s="74" t="str">
        <f>INDEX([2]!Tabel14[STOCK SISTEM],MATCH(B10,[2]!Tabel14[ITEM ID],0))</f>
        <v>0</v>
      </c>
      <c r="F10" s="5">
        <f>INDEX([1]!Tabel14[STOCK ACTUAL],MATCH(Tabel142[[#This Row],[ITEM ID]],[1]!Tabel14[ITEM ID],0))</f>
        <v>0</v>
      </c>
      <c r="G10" s="2"/>
      <c r="H10" s="73"/>
      <c r="I10" t="str">
        <f>IF(ISNUMBER(MATCH(Tabel142[ITEM ID],[2]!Tabel14[ITEM ID],0)),"ADA","TIDAK ADA")</f>
        <v>ADA</v>
      </c>
    </row>
    <row r="11" spans="1:11" ht="14.25" customHeight="1" x14ac:dyDescent="0.25">
      <c r="A11" s="7" t="str">
        <f>IF(ISNUMBER(MATCH(B11,'[1]REFERENSI RAB'!$A:$A,0)),"RAB","REGULER")</f>
        <v>RAB</v>
      </c>
      <c r="B11" s="2" t="s">
        <v>44</v>
      </c>
      <c r="C11" s="14" t="s">
        <v>45</v>
      </c>
      <c r="D11" s="5" t="s">
        <v>9</v>
      </c>
      <c r="E11" s="74" t="str">
        <f>INDEX([2]!Tabel14[STOCK SISTEM],MATCH(B11,[2]!Tabel14[ITEM ID],0))</f>
        <v>3</v>
      </c>
      <c r="F11" s="5">
        <f>INDEX([1]!Tabel14[STOCK ACTUAL],MATCH(Tabel142[[#This Row],[ITEM ID]],[1]!Tabel14[ITEM ID],0))</f>
        <v>3</v>
      </c>
      <c r="G11" s="7"/>
      <c r="H11" s="73"/>
      <c r="I11" t="str">
        <f>IF(ISNUMBER(MATCH(Tabel142[ITEM ID],[2]!Tabel14[ITEM ID],0)),"ADA","TIDAK ADA")</f>
        <v>ADA</v>
      </c>
    </row>
    <row r="12" spans="1:11" ht="14.25" customHeight="1" x14ac:dyDescent="0.25">
      <c r="A12" s="7" t="str">
        <f>IF(ISNUMBER(MATCH(B12,'[1]REFERENSI RAB'!$A:$A,0)),"RAB","REGULER")</f>
        <v>RAB</v>
      </c>
      <c r="B12" s="2" t="s">
        <v>46</v>
      </c>
      <c r="C12" s="14" t="s">
        <v>47</v>
      </c>
      <c r="D12" s="5" t="s">
        <v>9</v>
      </c>
      <c r="E12" s="74" t="str">
        <f>INDEX([2]!Tabel14[STOCK SISTEM],MATCH(B12,[2]!Tabel14[ITEM ID],0))</f>
        <v>0</v>
      </c>
      <c r="F12" s="5">
        <f>INDEX([1]!Tabel14[STOCK ACTUAL],MATCH(Tabel142[[#This Row],[ITEM ID]],[1]!Tabel14[ITEM ID],0))</f>
        <v>0</v>
      </c>
      <c r="G12" s="7"/>
      <c r="H12" s="73"/>
      <c r="I12" t="str">
        <f>IF(ISNUMBER(MATCH(Tabel142[ITEM ID],[2]!Tabel14[ITEM ID],0)),"ADA","TIDAK ADA")</f>
        <v>ADA</v>
      </c>
    </row>
    <row r="13" spans="1:11" ht="14.25" customHeight="1" x14ac:dyDescent="0.25">
      <c r="A13" s="7" t="str">
        <f>IF(ISNUMBER(MATCH(B13,'[1]REFERENSI RAB'!$A:$A,0)),"RAB","REGULER")</f>
        <v>RAB</v>
      </c>
      <c r="B13" s="3" t="s">
        <v>118</v>
      </c>
      <c r="C13" s="2" t="s">
        <v>119</v>
      </c>
      <c r="D13" s="5" t="s">
        <v>9</v>
      </c>
      <c r="E13" s="74" t="str">
        <f>INDEX([2]!Tabel14[STOCK SISTEM],MATCH(B13,[2]!Tabel14[ITEM ID],0))</f>
        <v>0</v>
      </c>
      <c r="F13" s="5">
        <f>INDEX([1]!Tabel14[STOCK ACTUAL],MATCH(Tabel142[[#This Row],[ITEM ID]],[1]!Tabel14[ITEM ID],0))</f>
        <v>0</v>
      </c>
      <c r="G13" s="6"/>
      <c r="H13" s="73"/>
      <c r="I13" t="str">
        <f>IF(ISNUMBER(MATCH(Tabel142[ITEM ID],[2]!Tabel14[ITEM ID],0)),"ADA","TIDAK ADA")</f>
        <v>ADA</v>
      </c>
    </row>
    <row r="14" spans="1:11" ht="14.25" customHeight="1" x14ac:dyDescent="0.25">
      <c r="A14" s="7" t="str">
        <f>IF(ISNUMBER(MATCH(B14,'[1]REFERENSI RAB'!$A:$A,0)),"RAB","REGULER")</f>
        <v>RAB</v>
      </c>
      <c r="B14" s="3" t="s">
        <v>120</v>
      </c>
      <c r="C14" s="2" t="s">
        <v>121</v>
      </c>
      <c r="D14" s="5" t="s">
        <v>9</v>
      </c>
      <c r="E14" s="74" t="str">
        <f>INDEX([2]!Tabel14[STOCK SISTEM],MATCH(B14,[2]!Tabel14[ITEM ID],0))</f>
        <v>0</v>
      </c>
      <c r="F14" s="5">
        <f>INDEX([1]!Tabel14[STOCK ACTUAL],MATCH(Tabel142[[#This Row],[ITEM ID]],[1]!Tabel14[ITEM ID],0))</f>
        <v>0</v>
      </c>
      <c r="G14" s="6"/>
      <c r="H14" s="73"/>
      <c r="I14" t="str">
        <f>IF(ISNUMBER(MATCH(Tabel142[ITEM ID],[2]!Tabel14[ITEM ID],0)),"ADA","TIDAK ADA")</f>
        <v>ADA</v>
      </c>
    </row>
    <row r="15" spans="1:11" ht="14.25" customHeight="1" x14ac:dyDescent="0.25">
      <c r="A15" s="7" t="str">
        <f>IF(ISNUMBER(MATCH(B15,'[1]REFERENSI RAB'!$A:$A,0)),"RAB","REGULER")</f>
        <v>RAB</v>
      </c>
      <c r="B15" s="3" t="s">
        <v>130</v>
      </c>
      <c r="C15" s="21" t="s">
        <v>131</v>
      </c>
      <c r="D15" s="5" t="s">
        <v>9</v>
      </c>
      <c r="E15" s="74" t="str">
        <f>INDEX([2]!Tabel14[STOCK SISTEM],MATCH(B15,[2]!Tabel14[ITEM ID],0))</f>
        <v>17</v>
      </c>
      <c r="F15" s="5">
        <f>INDEX([1]!Tabel14[STOCK ACTUAL],MATCH(Tabel142[[#This Row],[ITEM ID]],[1]!Tabel14[ITEM ID],0))</f>
        <v>19</v>
      </c>
      <c r="G15" s="6"/>
      <c r="H15" s="73"/>
      <c r="I15" t="str">
        <f>IF(ISNUMBER(MATCH(Tabel142[ITEM ID],[2]!Tabel14[ITEM ID],0)),"ADA","TIDAK ADA")</f>
        <v>ADA</v>
      </c>
      <c r="K15" s="75"/>
    </row>
    <row r="16" spans="1:11" ht="14.25" customHeight="1" x14ac:dyDescent="0.25">
      <c r="A16" s="7" t="str">
        <f>IF(ISNUMBER(MATCH(B16,'[1]REFERENSI RAB'!$A:$A,0)),"RAB","REGULER")</f>
        <v>RAB</v>
      </c>
      <c r="B16" s="3" t="s">
        <v>122</v>
      </c>
      <c r="C16" s="2" t="s">
        <v>123</v>
      </c>
      <c r="D16" s="5" t="s">
        <v>9</v>
      </c>
      <c r="E16" s="74" t="str">
        <f>INDEX([2]!Tabel14[STOCK SISTEM],MATCH(B16,[2]!Tabel14[ITEM ID],0))</f>
        <v>0</v>
      </c>
      <c r="F16" s="5">
        <f>INDEX([1]!Tabel14[STOCK ACTUAL],MATCH(Tabel142[[#This Row],[ITEM ID]],[1]!Tabel14[ITEM ID],0))</f>
        <v>0</v>
      </c>
      <c r="G16" s="6"/>
      <c r="H16" s="73"/>
      <c r="I16" t="str">
        <f>IF(ISNUMBER(MATCH(Tabel142[ITEM ID],[2]!Tabel14[ITEM ID],0)),"ADA","TIDAK ADA")</f>
        <v>ADA</v>
      </c>
      <c r="K16" s="75"/>
    </row>
    <row r="17" spans="1:11" ht="14.25" customHeight="1" x14ac:dyDescent="0.25">
      <c r="A17" s="7" t="str">
        <f>IF(ISNUMBER(MATCH(B17,'[1]REFERENSI RAB'!$A:$A,0)),"RAB","REGULER")</f>
        <v>RAB</v>
      </c>
      <c r="B17" s="3" t="s">
        <v>124</v>
      </c>
      <c r="C17" s="21" t="s">
        <v>125</v>
      </c>
      <c r="D17" s="5" t="s">
        <v>9</v>
      </c>
      <c r="E17" s="74" t="str">
        <f>INDEX([2]!Tabel14[STOCK SISTEM],MATCH(B17,[2]!Tabel14[ITEM ID],0))</f>
        <v>0</v>
      </c>
      <c r="F17" s="5">
        <f>INDEX([1]!Tabel14[STOCK ACTUAL],MATCH(Tabel142[[#This Row],[ITEM ID]],[1]!Tabel14[ITEM ID],0))</f>
        <v>0</v>
      </c>
      <c r="G17" s="6"/>
      <c r="H17" s="73"/>
      <c r="I17" t="str">
        <f>IF(ISNUMBER(MATCH(Tabel142[ITEM ID],[2]!Tabel14[ITEM ID],0)),"ADA","TIDAK ADA")</f>
        <v>ADA</v>
      </c>
      <c r="K17" s="75"/>
    </row>
    <row r="18" spans="1:11" ht="14.25" customHeight="1" x14ac:dyDescent="0.25">
      <c r="A18" s="7" t="str">
        <f>IF(ISNUMBER(MATCH(B18,'[1]REFERENSI RAB'!$A:$A,0)),"RAB","REGULER")</f>
        <v>RAB</v>
      </c>
      <c r="B18" s="3" t="s">
        <v>126</v>
      </c>
      <c r="C18" s="2" t="s">
        <v>127</v>
      </c>
      <c r="D18" s="5" t="s">
        <v>9</v>
      </c>
      <c r="E18" s="74" t="str">
        <f>INDEX([2]!Tabel14[STOCK SISTEM],MATCH(B18,[2]!Tabel14[ITEM ID],0))</f>
        <v>0</v>
      </c>
      <c r="F18" s="5">
        <f>INDEX([1]!Tabel14[STOCK ACTUAL],MATCH(Tabel142[[#This Row],[ITEM ID]],[1]!Tabel14[ITEM ID],0))</f>
        <v>0</v>
      </c>
      <c r="G18" s="6"/>
      <c r="H18" s="73"/>
      <c r="I18" t="str">
        <f>IF(ISNUMBER(MATCH(Tabel142[ITEM ID],[2]!Tabel14[ITEM ID],0)),"ADA","TIDAK ADA")</f>
        <v>ADA</v>
      </c>
      <c r="K18" s="75"/>
    </row>
    <row r="19" spans="1:11" ht="14.25" customHeight="1" x14ac:dyDescent="0.25">
      <c r="A19" s="7" t="str">
        <f>IF(ISNUMBER(MATCH(B19,'[1]REFERENSI RAB'!$A:$A,0)),"RAB","REGULER")</f>
        <v>RAB</v>
      </c>
      <c r="B19" s="3" t="s">
        <v>128</v>
      </c>
      <c r="C19" s="21" t="s">
        <v>129</v>
      </c>
      <c r="D19" s="5" t="s">
        <v>9</v>
      </c>
      <c r="E19" s="74" t="str">
        <f>INDEX([2]!Tabel14[STOCK SISTEM],MATCH(B19,[2]!Tabel14[ITEM ID],0))</f>
        <v>4</v>
      </c>
      <c r="F19" s="5">
        <f>INDEX([1]!Tabel14[STOCK ACTUAL],MATCH(Tabel142[[#This Row],[ITEM ID]],[1]!Tabel14[ITEM ID],0))</f>
        <v>4</v>
      </c>
      <c r="G19" s="6"/>
      <c r="H19" s="73"/>
      <c r="I19" t="str">
        <f>IF(ISNUMBER(MATCH(Tabel142[ITEM ID],[2]!Tabel14[ITEM ID],0)),"ADA","TIDAK ADA")</f>
        <v>ADA</v>
      </c>
      <c r="K19" s="75"/>
    </row>
    <row r="20" spans="1:11" ht="14.25" customHeight="1" x14ac:dyDescent="0.25">
      <c r="A20" s="7" t="str">
        <f>IF(ISNUMBER(MATCH(B20,'[1]REFERENSI RAB'!$A:$A,0)),"RAB","REGULER")</f>
        <v>RAB</v>
      </c>
      <c r="B20" s="2" t="s">
        <v>82</v>
      </c>
      <c r="C20" s="14" t="s">
        <v>81</v>
      </c>
      <c r="D20" s="5" t="s">
        <v>83</v>
      </c>
      <c r="E20" s="74" t="str">
        <f>INDEX([2]!Tabel14[STOCK SISTEM],MATCH(B20,[2]!Tabel14[ITEM ID],0))</f>
        <v>0</v>
      </c>
      <c r="F20" s="5">
        <f>INDEX([1]!Tabel14[STOCK ACTUAL],MATCH(Tabel142[[#This Row],[ITEM ID]],[1]!Tabel14[ITEM ID],0))</f>
        <v>0</v>
      </c>
      <c r="G20" s="7"/>
      <c r="H20" s="73"/>
      <c r="I20" t="str">
        <f>IF(ISNUMBER(MATCH(Tabel142[ITEM ID],[2]!Tabel14[ITEM ID],0)),"ADA","TIDAK ADA")</f>
        <v>ADA</v>
      </c>
      <c r="K20" s="75"/>
    </row>
    <row r="21" spans="1:11" ht="14.25" customHeight="1" x14ac:dyDescent="0.25">
      <c r="A21" s="7" t="str">
        <f>IF(ISNUMBER(MATCH(B21,'[1]REFERENSI RAB'!$A:$A,0)),"RAB","REGULER")</f>
        <v>RAB</v>
      </c>
      <c r="B21" s="2" t="s">
        <v>84</v>
      </c>
      <c r="C21" s="14" t="s">
        <v>85</v>
      </c>
      <c r="D21" s="5" t="s">
        <v>83</v>
      </c>
      <c r="E21" s="74" t="str">
        <f>INDEX([2]!Tabel14[STOCK SISTEM],MATCH(B21,[2]!Tabel14[ITEM ID],0))</f>
        <v>2</v>
      </c>
      <c r="F21" s="5">
        <f>INDEX([1]!Tabel14[STOCK ACTUAL],MATCH(Tabel142[[#This Row],[ITEM ID]],[1]!Tabel14[ITEM ID],0))</f>
        <v>2</v>
      </c>
      <c r="G21" s="7"/>
      <c r="H21" s="73"/>
      <c r="I21" t="str">
        <f>IF(ISNUMBER(MATCH(Tabel142[ITEM ID],[2]!Tabel14[ITEM ID],0)),"ADA","TIDAK ADA")</f>
        <v>ADA</v>
      </c>
      <c r="K21" s="75"/>
    </row>
    <row r="22" spans="1:11" ht="14.25" customHeight="1" x14ac:dyDescent="0.25">
      <c r="A22" s="7" t="str">
        <f>IF(ISNUMBER(MATCH(B22,'[1]REFERENSI RAB'!$A:$A,0)),"RAB","REGULER")</f>
        <v>RAB</v>
      </c>
      <c r="B22" s="2" t="s">
        <v>61</v>
      </c>
      <c r="C22" s="14" t="s">
        <v>62</v>
      </c>
      <c r="D22" s="5" t="s">
        <v>63</v>
      </c>
      <c r="E22" s="74" t="str">
        <f>INDEX([2]!Tabel14[STOCK SISTEM],MATCH(B22,[2]!Tabel14[ITEM ID],0))</f>
        <v>0</v>
      </c>
      <c r="F22" s="5">
        <f>INDEX([1]!Tabel14[STOCK ACTUAL],MATCH(Tabel142[[#This Row],[ITEM ID]],[1]!Tabel14[ITEM ID],0))</f>
        <v>0</v>
      </c>
      <c r="G22" s="7"/>
      <c r="H22" s="73"/>
      <c r="I22" t="str">
        <f>IF(ISNUMBER(MATCH(Tabel142[ITEM ID],[2]!Tabel14[ITEM ID],0)),"ADA","TIDAK ADA")</f>
        <v>ADA</v>
      </c>
      <c r="K22" s="75"/>
    </row>
    <row r="23" spans="1:11" ht="14.25" customHeight="1" x14ac:dyDescent="0.25">
      <c r="A23" s="7" t="str">
        <f>IF(ISNUMBER(MATCH(B23,'[1]REFERENSI RAB'!$A:$A,0)),"RAB","REGULER")</f>
        <v>RAB</v>
      </c>
      <c r="B23" s="2" t="s">
        <v>64</v>
      </c>
      <c r="C23" s="14" t="s">
        <v>65</v>
      </c>
      <c r="D23" s="5" t="s">
        <v>66</v>
      </c>
      <c r="E23" s="74" t="str">
        <f>INDEX([2]!Tabel14[STOCK SISTEM],MATCH(B23,[2]!Tabel14[ITEM ID],0))</f>
        <v>0</v>
      </c>
      <c r="F23" s="5">
        <f>INDEX([1]!Tabel14[STOCK ACTUAL],MATCH(Tabel142[[#This Row],[ITEM ID]],[1]!Tabel14[ITEM ID],0))</f>
        <v>0</v>
      </c>
      <c r="G23" s="6"/>
      <c r="H23" s="73"/>
      <c r="I23" t="str">
        <f>IF(ISNUMBER(MATCH(Tabel142[ITEM ID],[2]!Tabel14[ITEM ID],0)),"ADA","TIDAK ADA")</f>
        <v>ADA</v>
      </c>
      <c r="K23" s="75"/>
    </row>
    <row r="24" spans="1:11" ht="14.25" customHeight="1" x14ac:dyDescent="0.25">
      <c r="A24" s="7" t="str">
        <f>IF(ISNUMBER(MATCH(B24,'[1]REFERENSI RAB'!$A:$A,0)),"RAB","REGULER")</f>
        <v>RAB</v>
      </c>
      <c r="B24" s="2" t="s">
        <v>67</v>
      </c>
      <c r="C24" s="14" t="s">
        <v>68</v>
      </c>
      <c r="D24" s="5" t="s">
        <v>66</v>
      </c>
      <c r="E24" s="74" t="str">
        <f>INDEX([2]!Tabel14[STOCK SISTEM],MATCH(B24,[2]!Tabel14[ITEM ID],0))</f>
        <v>0</v>
      </c>
      <c r="F24" s="5">
        <f>INDEX([1]!Tabel14[STOCK ACTUAL],MATCH(Tabel142[[#This Row],[ITEM ID]],[1]!Tabel14[ITEM ID],0))</f>
        <v>0</v>
      </c>
      <c r="G24" s="6"/>
      <c r="H24" s="73"/>
      <c r="I24" t="str">
        <f>IF(ISNUMBER(MATCH(Tabel142[ITEM ID],[2]!Tabel14[ITEM ID],0)),"ADA","TIDAK ADA")</f>
        <v>ADA</v>
      </c>
      <c r="K24" s="75"/>
    </row>
    <row r="25" spans="1:11" ht="14.25" customHeight="1" x14ac:dyDescent="0.25">
      <c r="A25" s="7" t="str">
        <f>IF(ISNUMBER(MATCH(B25,'[1]REFERENSI RAB'!$A:$A,0)),"RAB","REGULER")</f>
        <v>RAB</v>
      </c>
      <c r="B25" s="2" t="s">
        <v>69</v>
      </c>
      <c r="C25" s="14" t="s">
        <v>70</v>
      </c>
      <c r="D25" s="5" t="s">
        <v>66</v>
      </c>
      <c r="E25" s="74" t="str">
        <f>INDEX([2]!Tabel14[STOCK SISTEM],MATCH(B25,[2]!Tabel14[ITEM ID],0))</f>
        <v>0</v>
      </c>
      <c r="F25" s="5">
        <f>INDEX([1]!Tabel14[STOCK ACTUAL],MATCH(Tabel142[[#This Row],[ITEM ID]],[1]!Tabel14[ITEM ID],0))</f>
        <v>0</v>
      </c>
      <c r="G25" s="6"/>
      <c r="H25" s="73"/>
      <c r="I25" t="str">
        <f>IF(ISNUMBER(MATCH(Tabel142[ITEM ID],[2]!Tabel14[ITEM ID],0)),"ADA","TIDAK ADA")</f>
        <v>ADA</v>
      </c>
      <c r="K25" s="75"/>
    </row>
    <row r="26" spans="1:11" ht="14.25" customHeight="1" x14ac:dyDescent="0.25">
      <c r="A26" s="7" t="str">
        <f>IF(ISNUMBER(MATCH(B26,'[1]REFERENSI RAB'!$A:$A,0)),"RAB","REGULER")</f>
        <v>RAB</v>
      </c>
      <c r="B26" s="2" t="s">
        <v>71</v>
      </c>
      <c r="C26" s="14" t="s">
        <v>72</v>
      </c>
      <c r="D26" s="5" t="s">
        <v>66</v>
      </c>
      <c r="E26" s="74" t="str">
        <f>INDEX([2]!Tabel14[STOCK SISTEM],MATCH(B26,[2]!Tabel14[ITEM ID],0))</f>
        <v>0</v>
      </c>
      <c r="F26" s="5">
        <f>INDEX([1]!Tabel14[STOCK ACTUAL],MATCH(Tabel142[[#This Row],[ITEM ID]],[1]!Tabel14[ITEM ID],0))</f>
        <v>0</v>
      </c>
      <c r="G26" s="6"/>
      <c r="H26" s="73"/>
      <c r="I26" t="str">
        <f>IF(ISNUMBER(MATCH(Tabel142[ITEM ID],[2]!Tabel14[ITEM ID],0)),"ADA","TIDAK ADA")</f>
        <v>ADA</v>
      </c>
      <c r="K26" s="75"/>
    </row>
    <row r="27" spans="1:11" ht="14.25" customHeight="1" x14ac:dyDescent="0.25">
      <c r="A27" s="7" t="str">
        <f>IF(ISNUMBER(MATCH(B27,'[1]REFERENSI RAB'!$A:$A,0)),"RAB","REGULER")</f>
        <v>RAB</v>
      </c>
      <c r="B27" s="2" t="s">
        <v>133</v>
      </c>
      <c r="C27" s="14" t="s">
        <v>134</v>
      </c>
      <c r="D27" s="5" t="s">
        <v>9</v>
      </c>
      <c r="E27" s="74" t="str">
        <f>INDEX([2]!Tabel14[STOCK SISTEM],MATCH(B27,[2]!Tabel14[ITEM ID],0))</f>
        <v>0</v>
      </c>
      <c r="F27" s="5">
        <f>INDEX([1]!Tabel14[STOCK ACTUAL],MATCH(Tabel142[[#This Row],[ITEM ID]],[1]!Tabel14[ITEM ID],0))</f>
        <v>0</v>
      </c>
      <c r="G27" s="6"/>
      <c r="H27" s="73"/>
      <c r="I27" t="str">
        <f>IF(ISNUMBER(MATCH(Tabel142[ITEM ID],[2]!Tabel14[ITEM ID],0)),"ADA","TIDAK ADA")</f>
        <v>ADA</v>
      </c>
      <c r="K27" s="75"/>
    </row>
    <row r="28" spans="1:11" ht="14.25" customHeight="1" x14ac:dyDescent="0.25">
      <c r="A28" s="7" t="str">
        <f>IF(ISNUMBER(MATCH(B28,'[1]REFERENSI RAB'!$A:$A,0)),"RAB","REGULER")</f>
        <v>RAB</v>
      </c>
      <c r="B28" s="2" t="s">
        <v>56</v>
      </c>
      <c r="C28" s="14" t="s">
        <v>57</v>
      </c>
      <c r="D28" s="5" t="s">
        <v>58</v>
      </c>
      <c r="E28" s="74">
        <f>INDEX([2]!Tabel14[STOCK SISTEM],MATCH(B28,[2]!Tabel14[ITEM ID],0))</f>
        <v>0</v>
      </c>
      <c r="F28" s="5">
        <f>INDEX([1]!Tabel14[STOCK ACTUAL],MATCH(Tabel142[[#This Row],[ITEM ID]],[1]!Tabel14[ITEM ID],0))</f>
        <v>0</v>
      </c>
      <c r="G28" s="7"/>
      <c r="H28" s="73"/>
      <c r="I28" t="str">
        <f>IF(ISNUMBER(MATCH(Tabel142[ITEM ID],[2]!Tabel14[ITEM ID],0)),"ADA","TIDAK ADA")</f>
        <v>ADA</v>
      </c>
      <c r="K28" s="75"/>
    </row>
    <row r="29" spans="1:11" ht="14.25" customHeight="1" x14ac:dyDescent="0.25">
      <c r="A29" s="7" t="str">
        <f>IF(ISNUMBER(MATCH(B29,'[1]REFERENSI RAB'!$A:$A,0)),"RAB","REGULER")</f>
        <v>RAB</v>
      </c>
      <c r="B29" s="3" t="s">
        <v>100</v>
      </c>
      <c r="C29" s="2" t="s">
        <v>101</v>
      </c>
      <c r="D29" s="5" t="s">
        <v>9</v>
      </c>
      <c r="E29" s="74" t="str">
        <f>INDEX([2]!Tabel14[STOCK SISTEM],MATCH(B29,[2]!Tabel14[ITEM ID],0))</f>
        <v>6</v>
      </c>
      <c r="F29" s="5">
        <f>INDEX([1]!Tabel14[STOCK ACTUAL],MATCH(Tabel142[[#This Row],[ITEM ID]],[1]!Tabel14[ITEM ID],0))</f>
        <v>6</v>
      </c>
      <c r="G29" s="2"/>
      <c r="H29" s="73"/>
      <c r="I29" t="str">
        <f>IF(ISNUMBER(MATCH(Tabel142[ITEM ID],[2]!Tabel14[ITEM ID],0)),"ADA","TIDAK ADA")</f>
        <v>ADA</v>
      </c>
      <c r="K29" s="75"/>
    </row>
    <row r="30" spans="1:11" ht="14.25" customHeight="1" x14ac:dyDescent="0.25">
      <c r="A30" s="7" t="str">
        <f>IF(ISNUMBER(MATCH(B30,'[1]REFERENSI RAB'!$A:$A,0)),"RAB","REGULER")</f>
        <v>RAB</v>
      </c>
      <c r="B30" s="2" t="s">
        <v>59</v>
      </c>
      <c r="C30" s="14" t="s">
        <v>60</v>
      </c>
      <c r="D30" s="5" t="s">
        <v>9</v>
      </c>
      <c r="E30" s="74" t="str">
        <f>INDEX([2]!Tabel14[STOCK SISTEM],MATCH(B30,[2]!Tabel14[ITEM ID],0))</f>
        <v>0</v>
      </c>
      <c r="F30" s="5">
        <f>INDEX([1]!Tabel14[STOCK ACTUAL],MATCH(Tabel142[[#This Row],[ITEM ID]],[1]!Tabel14[ITEM ID],0))</f>
        <v>0</v>
      </c>
      <c r="G30" s="7"/>
      <c r="H30" s="73"/>
      <c r="I30" t="str">
        <f>IF(ISNUMBER(MATCH(Tabel142[ITEM ID],[2]!Tabel14[ITEM ID],0)),"ADA","TIDAK ADA")</f>
        <v>ADA</v>
      </c>
      <c r="K30" s="75"/>
    </row>
    <row r="31" spans="1:11" ht="14.25" customHeight="1" x14ac:dyDescent="0.25">
      <c r="A31" s="7" t="str">
        <f>IF(ISNUMBER(MATCH(B31,'[1]REFERENSI RAB'!$A:$A,0)),"RAB","REGULER")</f>
        <v>RAB</v>
      </c>
      <c r="B31" s="3" t="s">
        <v>108</v>
      </c>
      <c r="C31" s="3" t="s">
        <v>109</v>
      </c>
      <c r="D31" s="5" t="s">
        <v>58</v>
      </c>
      <c r="E31" s="74" t="str">
        <f>INDEX([2]!Tabel14[STOCK SISTEM],MATCH(B31,[2]!Tabel14[ITEM ID],0))</f>
        <v>0</v>
      </c>
      <c r="F31" s="5">
        <f>INDEX([1]!Tabel14[STOCK ACTUAL],MATCH(Tabel142[[#This Row],[ITEM ID]],[1]!Tabel14[ITEM ID],0))</f>
        <v>0</v>
      </c>
      <c r="G31" s="2"/>
      <c r="H31" s="73"/>
      <c r="I31" t="str">
        <f>IF(ISNUMBER(MATCH(Tabel142[ITEM ID],[2]!Tabel14[ITEM ID],0)),"ADA","TIDAK ADA")</f>
        <v>ADA</v>
      </c>
      <c r="K31" s="75"/>
    </row>
    <row r="32" spans="1:11" ht="14.25" customHeight="1" x14ac:dyDescent="0.25">
      <c r="A32" s="7" t="str">
        <f>IF(ISNUMBER(MATCH(B32,'[1]REFERENSI RAB'!$A:$A,0)),"RAB","REGULER")</f>
        <v>RAB</v>
      </c>
      <c r="B32" s="3" t="s">
        <v>110</v>
      </c>
      <c r="C32" s="21" t="s">
        <v>111</v>
      </c>
      <c r="D32" s="5" t="s">
        <v>58</v>
      </c>
      <c r="E32" s="74" t="str">
        <f>INDEX([2]!Tabel14[STOCK SISTEM],MATCH(B32,[2]!Tabel14[ITEM ID],0))</f>
        <v>0</v>
      </c>
      <c r="F32" s="5">
        <f>INDEX([1]!Tabel14[STOCK ACTUAL],MATCH(Tabel142[[#This Row],[ITEM ID]],[1]!Tabel14[ITEM ID],0))</f>
        <v>0</v>
      </c>
      <c r="G32" s="2"/>
      <c r="H32" s="73"/>
      <c r="I32" t="str">
        <f>IF(ISNUMBER(MATCH(Tabel142[ITEM ID],[2]!Tabel14[ITEM ID],0)),"ADA","TIDAK ADA")</f>
        <v>ADA</v>
      </c>
      <c r="K32" s="75"/>
    </row>
    <row r="33" spans="1:11" ht="14.25" customHeight="1" x14ac:dyDescent="0.25">
      <c r="A33" s="7" t="str">
        <f>IF(ISNUMBER(MATCH(B33,'[1]REFERENSI RAB'!$A:$A,0)),"RAB","REGULER")</f>
        <v>RAB</v>
      </c>
      <c r="B33" s="3" t="s">
        <v>104</v>
      </c>
      <c r="C33" s="7" t="s">
        <v>105</v>
      </c>
      <c r="D33" s="5" t="s">
        <v>58</v>
      </c>
      <c r="E33" s="74" t="str">
        <f>INDEX([2]!Tabel14[STOCK SISTEM],MATCH(B33,[2]!Tabel14[ITEM ID],0))</f>
        <v>0</v>
      </c>
      <c r="F33" s="5">
        <f>INDEX([1]!Tabel14[STOCK ACTUAL],MATCH(Tabel142[[#This Row],[ITEM ID]],[1]!Tabel14[ITEM ID],0))</f>
        <v>0</v>
      </c>
      <c r="G33" s="2"/>
      <c r="H33" s="73"/>
      <c r="I33" t="str">
        <f>IF(ISNUMBER(MATCH(Tabel142[ITEM ID],[2]!Tabel14[ITEM ID],0)),"ADA","TIDAK ADA")</f>
        <v>ADA</v>
      </c>
      <c r="K33" s="75"/>
    </row>
    <row r="34" spans="1:11" ht="14.25" customHeight="1" x14ac:dyDescent="0.25">
      <c r="A34" s="7" t="str">
        <f>IF(ISNUMBER(MATCH(B34,'[1]REFERENSI RAB'!$A:$A,0)),"RAB","REGULER")</f>
        <v>RAB</v>
      </c>
      <c r="B34" s="3" t="s">
        <v>102</v>
      </c>
      <c r="C34" s="7" t="s">
        <v>103</v>
      </c>
      <c r="D34" s="5" t="s">
        <v>58</v>
      </c>
      <c r="E34" s="74" t="str">
        <f>INDEX([2]!Tabel14[STOCK SISTEM],MATCH(B34,[2]!Tabel14[ITEM ID],0))</f>
        <v>0</v>
      </c>
      <c r="F34" s="5">
        <f>INDEX([1]!Tabel14[STOCK ACTUAL],MATCH(Tabel142[[#This Row],[ITEM ID]],[1]!Tabel14[ITEM ID],0))</f>
        <v>0</v>
      </c>
      <c r="G34" s="2"/>
      <c r="H34" s="73"/>
      <c r="I34" t="str">
        <f>IF(ISNUMBER(MATCH(Tabel142[ITEM ID],[2]!Tabel14[ITEM ID],0)),"ADA","TIDAK ADA")</f>
        <v>ADA</v>
      </c>
      <c r="K34" s="75"/>
    </row>
    <row r="35" spans="1:11" ht="14.25" customHeight="1" x14ac:dyDescent="0.25">
      <c r="A35" s="7" t="str">
        <f>IF(ISNUMBER(MATCH(B35,'[1]REFERENSI RAB'!$A:$A,0)),"RAB","REGULER")</f>
        <v>RAB</v>
      </c>
      <c r="B35" s="8" t="s">
        <v>76</v>
      </c>
      <c r="C35" s="9" t="s">
        <v>77</v>
      </c>
      <c r="D35" s="5" t="s">
        <v>78</v>
      </c>
      <c r="E35" s="74" t="str">
        <f>INDEX([2]!Tabel14[STOCK SISTEM],MATCH(B35,[2]!Tabel14[ITEM ID],0))</f>
        <v>0</v>
      </c>
      <c r="F35" s="5">
        <f>INDEX([1]!Tabel14[STOCK ACTUAL],MATCH(Tabel142[[#This Row],[ITEM ID]],[1]!Tabel14[ITEM ID],0))</f>
        <v>0</v>
      </c>
      <c r="G35" s="7"/>
      <c r="H35" s="73"/>
      <c r="I35" t="str">
        <f>IF(ISNUMBER(MATCH(Tabel142[ITEM ID],[2]!Tabel14[ITEM ID],0)),"ADA","TIDAK ADA")</f>
        <v>ADA</v>
      </c>
      <c r="K35" s="75"/>
    </row>
    <row r="36" spans="1:11" ht="14.25" customHeight="1" x14ac:dyDescent="0.25">
      <c r="A36" s="7" t="str">
        <f>IF(ISNUMBER(MATCH(B36,'[1]REFERENSI RAB'!$A:$A,0)),"RAB","REGULER")</f>
        <v>RAB</v>
      </c>
      <c r="B36" s="11" t="s">
        <v>106</v>
      </c>
      <c r="C36" s="3" t="s">
        <v>107</v>
      </c>
      <c r="D36" s="5" t="s">
        <v>58</v>
      </c>
      <c r="E36" s="74" t="str">
        <f>INDEX([2]!Tabel14[STOCK SISTEM],MATCH(B36,[2]!Tabel14[ITEM ID],0))</f>
        <v>0</v>
      </c>
      <c r="F36" s="5">
        <f>INDEX([1]!Tabel14[STOCK ACTUAL],MATCH(Tabel142[[#This Row],[ITEM ID]],[1]!Tabel14[ITEM ID],0))</f>
        <v>0</v>
      </c>
      <c r="G36" s="2"/>
      <c r="H36" s="73"/>
      <c r="I36" t="str">
        <f>IF(ISNUMBER(MATCH(Tabel142[ITEM ID],[2]!Tabel14[ITEM ID],0)),"ADA","TIDAK ADA")</f>
        <v>ADA</v>
      </c>
      <c r="K36" s="75"/>
    </row>
    <row r="37" spans="1:11" ht="14.25" customHeight="1" x14ac:dyDescent="0.25">
      <c r="A37" s="7" t="str">
        <f>IF(ISNUMBER(MATCH(B37,'[1]REFERENSI RAB'!$A:$A,0)),"RAB","REGULER")</f>
        <v>RAB</v>
      </c>
      <c r="B37" s="3" t="s">
        <v>79</v>
      </c>
      <c r="C37" s="2" t="s">
        <v>80</v>
      </c>
      <c r="D37" s="5" t="s">
        <v>75</v>
      </c>
      <c r="E37" s="74" t="str">
        <f>INDEX([2]!Tabel14[STOCK SISTEM],MATCH(B37,[2]!Tabel14[ITEM ID],0))</f>
        <v>0</v>
      </c>
      <c r="F37" s="5">
        <f>INDEX([1]!Tabel14[STOCK ACTUAL],MATCH(Tabel142[[#This Row],[ITEM ID]],[1]!Tabel14[ITEM ID],0))</f>
        <v>0</v>
      </c>
      <c r="G37" s="7"/>
      <c r="H37" s="73"/>
      <c r="I37" t="str">
        <f>IF(ISNUMBER(MATCH(Tabel142[ITEM ID],[2]!Tabel14[ITEM ID],0)),"ADA","TIDAK ADA")</f>
        <v>ADA</v>
      </c>
      <c r="K37" s="75"/>
    </row>
    <row r="38" spans="1:11" ht="14.25" customHeight="1" x14ac:dyDescent="0.25">
      <c r="A38" s="7" t="str">
        <f>IF(ISNUMBER(MATCH(B38,'[1]REFERENSI RAB'!$A:$A,0)),"RAB","REGULER")</f>
        <v>RAB</v>
      </c>
      <c r="B38" s="2" t="s">
        <v>73</v>
      </c>
      <c r="C38" s="14" t="s">
        <v>74</v>
      </c>
      <c r="D38" s="5" t="s">
        <v>75</v>
      </c>
      <c r="E38" s="74" t="str">
        <f>INDEX([2]!Tabel14[STOCK SISTEM],MATCH(B38,[2]!Tabel14[ITEM ID],0))</f>
        <v>0</v>
      </c>
      <c r="F38" s="5">
        <f>INDEX([1]!Tabel14[STOCK ACTUAL],MATCH(Tabel142[[#This Row],[ITEM ID]],[1]!Tabel14[ITEM ID],0))</f>
        <v>0</v>
      </c>
      <c r="G38" s="7"/>
      <c r="H38" s="73"/>
      <c r="I38" t="str">
        <f>IF(ISNUMBER(MATCH(Tabel142[ITEM ID],[2]!Tabel14[ITEM ID],0)),"ADA","TIDAK ADA")</f>
        <v>ADA</v>
      </c>
      <c r="K38" s="75"/>
    </row>
    <row r="39" spans="1:11" ht="14.25" customHeight="1" x14ac:dyDescent="0.25">
      <c r="A39" s="7" t="str">
        <f>IF(ISNUMBER(MATCH(B39,'[1]REFERENSI RAB'!$A:$A,0)),"RAB","REGULER")</f>
        <v>RAB</v>
      </c>
      <c r="B39" s="2" t="s">
        <v>17</v>
      </c>
      <c r="C39" s="14" t="s">
        <v>18</v>
      </c>
      <c r="D39" s="5" t="s">
        <v>9</v>
      </c>
      <c r="E39" s="74" t="str">
        <f>INDEX([2]!Tabel14[STOCK SISTEM],MATCH(B39,[2]!Tabel14[ITEM ID],0))</f>
        <v>1</v>
      </c>
      <c r="F39" s="5">
        <f>INDEX([1]!Tabel14[STOCK ACTUAL],MATCH(Tabel142[[#This Row],[ITEM ID]],[1]!Tabel14[ITEM ID],0))</f>
        <v>1</v>
      </c>
      <c r="G39" s="7"/>
      <c r="H39" s="73"/>
      <c r="I39" t="str">
        <f>IF(ISNUMBER(MATCH(Tabel142[ITEM ID],[2]!Tabel14[ITEM ID],0)),"ADA","TIDAK ADA")</f>
        <v>ADA</v>
      </c>
      <c r="K39" s="75"/>
    </row>
    <row r="40" spans="1:11" ht="14.25" customHeight="1" x14ac:dyDescent="0.25">
      <c r="A40" s="7" t="str">
        <f>IF(ISNUMBER(MATCH(B40,'[1]REFERENSI RAB'!$A:$A,0)),"RAB","REGULER")</f>
        <v>RAB</v>
      </c>
      <c r="B40" s="2" t="s">
        <v>17</v>
      </c>
      <c r="C40" s="14" t="s">
        <v>18</v>
      </c>
      <c r="D40" s="5" t="s">
        <v>9</v>
      </c>
      <c r="E40" s="74" t="str">
        <f>INDEX([2]!Tabel14[STOCK SISTEM],MATCH(B40,[2]!Tabel14[ITEM ID],0))</f>
        <v>1</v>
      </c>
      <c r="F40" s="5">
        <f>INDEX([1]!Tabel14[STOCK ACTUAL],MATCH(Tabel142[[#This Row],[ITEM ID]],[1]!Tabel14[ITEM ID],0))</f>
        <v>1</v>
      </c>
      <c r="G40" s="7"/>
      <c r="H40" s="73"/>
      <c r="I40" t="str">
        <f>IF(ISNUMBER(MATCH(Tabel142[ITEM ID],[2]!Tabel14[ITEM ID],0)),"ADA","TIDAK ADA")</f>
        <v>ADA</v>
      </c>
      <c r="K40" s="75"/>
    </row>
    <row r="41" spans="1:11" ht="14.25" customHeight="1" x14ac:dyDescent="0.25">
      <c r="A41" s="7" t="str">
        <f>IF(ISNUMBER(MATCH(B41,'[1]REFERENSI RAB'!$A:$A,0)),"RAB","REGULER")</f>
        <v>RAB</v>
      </c>
      <c r="B41" s="2" t="s">
        <v>15</v>
      </c>
      <c r="C41" s="14" t="s">
        <v>16</v>
      </c>
      <c r="D41" s="5" t="s">
        <v>9</v>
      </c>
      <c r="E41" s="74" t="str">
        <f>INDEX([2]!Tabel14[STOCK SISTEM],MATCH(B41,[2]!Tabel14[ITEM ID],0))</f>
        <v>0</v>
      </c>
      <c r="F41" s="5">
        <f>INDEX([1]!Tabel14[STOCK ACTUAL],MATCH(Tabel142[[#This Row],[ITEM ID]],[1]!Tabel14[ITEM ID],0))</f>
        <v>0</v>
      </c>
      <c r="G41" s="7"/>
      <c r="H41" s="73"/>
      <c r="I41" t="str">
        <f>IF(ISNUMBER(MATCH(Tabel142[ITEM ID],[2]!Tabel14[ITEM ID],0)),"ADA","TIDAK ADA")</f>
        <v>ADA</v>
      </c>
      <c r="K41" s="75"/>
    </row>
    <row r="42" spans="1:11" ht="14.25" customHeight="1" x14ac:dyDescent="0.25">
      <c r="A42" s="7" t="str">
        <f>IF(ISNUMBER(MATCH(B42,'[1]REFERENSI RAB'!$A:$A,0)),"RAB","REGULER")</f>
        <v>RAB</v>
      </c>
      <c r="B42" s="2" t="s">
        <v>15</v>
      </c>
      <c r="C42" s="14" t="s">
        <v>16</v>
      </c>
      <c r="D42" s="5" t="s">
        <v>9</v>
      </c>
      <c r="E42" s="74" t="str">
        <f>INDEX([2]!Tabel14[STOCK SISTEM],MATCH(B42,[2]!Tabel14[ITEM ID],0))</f>
        <v>0</v>
      </c>
      <c r="F42" s="5">
        <f>INDEX([1]!Tabel14[STOCK ACTUAL],MATCH(Tabel142[[#This Row],[ITEM ID]],[1]!Tabel14[ITEM ID],0))</f>
        <v>0</v>
      </c>
      <c r="G42" s="7"/>
      <c r="H42" s="73"/>
      <c r="I42" t="str">
        <f>IF(ISNUMBER(MATCH(Tabel142[ITEM ID],[2]!Tabel14[ITEM ID],0)),"ADA","TIDAK ADA")</f>
        <v>ADA</v>
      </c>
      <c r="K42" s="75"/>
    </row>
    <row r="43" spans="1:11" ht="14.25" customHeight="1" x14ac:dyDescent="0.25">
      <c r="A43" s="7" t="str">
        <f>IF(ISNUMBER(MATCH(B43,'[1]REFERENSI RAB'!$A:$A,0)),"RAB","REGULER")</f>
        <v>RAB</v>
      </c>
      <c r="B43" s="2" t="s">
        <v>10</v>
      </c>
      <c r="C43" s="14" t="s">
        <v>11</v>
      </c>
      <c r="D43" s="5" t="s">
        <v>9</v>
      </c>
      <c r="E43" s="74" t="str">
        <f>INDEX([2]!Tabel14[STOCK SISTEM],MATCH(B43,[2]!Tabel14[ITEM ID],0))</f>
        <v>2</v>
      </c>
      <c r="F43" s="5">
        <f>INDEX([1]!Tabel14[STOCK ACTUAL],MATCH(Tabel142[[#This Row],[ITEM ID]],[1]!Tabel14[ITEM ID],0))</f>
        <v>2</v>
      </c>
      <c r="G43" s="7"/>
      <c r="H43" s="73"/>
      <c r="I43" t="str">
        <f>IF(ISNUMBER(MATCH(Tabel142[ITEM ID],[2]!Tabel14[ITEM ID],0)),"ADA","TIDAK ADA")</f>
        <v>ADA</v>
      </c>
      <c r="K43" s="75"/>
    </row>
    <row r="44" spans="1:11" ht="14.25" customHeight="1" x14ac:dyDescent="0.25">
      <c r="A44" s="7" t="str">
        <f>IF(ISNUMBER(MATCH(B44,'[1]REFERENSI RAB'!$A:$A,0)),"RAB","REGULER")</f>
        <v>RAB</v>
      </c>
      <c r="B44" s="2" t="s">
        <v>12</v>
      </c>
      <c r="C44" s="14" t="s">
        <v>13</v>
      </c>
      <c r="D44" s="5" t="s">
        <v>9</v>
      </c>
      <c r="E44" s="74" t="str">
        <f>INDEX([2]!Tabel14[STOCK SISTEM],MATCH(B44,[2]!Tabel14[ITEM ID],0))</f>
        <v>8</v>
      </c>
      <c r="F44" s="5">
        <f>INDEX([1]!Tabel14[STOCK ACTUAL],MATCH(Tabel142[[#This Row],[ITEM ID]],[1]!Tabel14[ITEM ID],0))</f>
        <v>9</v>
      </c>
      <c r="G44" s="7"/>
      <c r="H44" s="73"/>
      <c r="I44" t="str">
        <f>IF(ISNUMBER(MATCH(Tabel142[ITEM ID],[2]!Tabel14[ITEM ID],0)),"ADA","TIDAK ADA")</f>
        <v>ADA</v>
      </c>
      <c r="K44" s="75"/>
    </row>
    <row r="45" spans="1:11" ht="14.25" customHeight="1" x14ac:dyDescent="0.25">
      <c r="A45" s="7" t="str">
        <f>IF(ISNUMBER(MATCH(B45,'[1]REFERENSI RAB'!$A:$A,0)),"RAB","REGULER")</f>
        <v>RAB</v>
      </c>
      <c r="B45" s="2" t="s">
        <v>22</v>
      </c>
      <c r="C45" s="14" t="s">
        <v>23</v>
      </c>
      <c r="D45" s="5" t="s">
        <v>24</v>
      </c>
      <c r="E45" s="74" t="str">
        <f>INDEX([2]!Tabel14[STOCK SISTEM],MATCH(B45,[2]!Tabel14[ITEM ID],0))</f>
        <v>1</v>
      </c>
      <c r="F45" s="5">
        <f>INDEX([1]!Tabel14[STOCK ACTUAL],MATCH(Tabel142[[#This Row],[ITEM ID]],[1]!Tabel14[ITEM ID],0))</f>
        <v>1</v>
      </c>
      <c r="G45" s="7"/>
      <c r="H45" s="73"/>
      <c r="I45" t="str">
        <f>IF(ISNUMBER(MATCH(Tabel142[ITEM ID],[2]!Tabel14[ITEM ID],0)),"ADA","TIDAK ADA")</f>
        <v>ADA</v>
      </c>
      <c r="K45" s="75"/>
    </row>
    <row r="46" spans="1:11" ht="14.25" customHeight="1" x14ac:dyDescent="0.25">
      <c r="A46" s="7" t="str">
        <f>IF(ISNUMBER(MATCH(B46,'[1]REFERENSI RAB'!$A:$A,0)),"RAB","REGULER")</f>
        <v>RAB</v>
      </c>
      <c r="B46" s="2" t="s">
        <v>19</v>
      </c>
      <c r="C46" s="20" t="s">
        <v>20</v>
      </c>
      <c r="D46" s="5" t="s">
        <v>21</v>
      </c>
      <c r="E46" s="74" t="str">
        <f>INDEX([2]!Tabel14[STOCK SISTEM],MATCH(B46,[2]!Tabel14[ITEM ID],0))</f>
        <v>0</v>
      </c>
      <c r="F46" s="5">
        <f>INDEX([1]!Tabel14[STOCK ACTUAL],MATCH(Tabel142[[#This Row],[ITEM ID]],[1]!Tabel14[ITEM ID],0))</f>
        <v>0</v>
      </c>
      <c r="G46" s="7"/>
      <c r="H46" s="73"/>
      <c r="I46" t="str">
        <f>IF(ISNUMBER(MATCH(Tabel142[ITEM ID],[2]!Tabel14[ITEM ID],0)),"ADA","TIDAK ADA")</f>
        <v>ADA</v>
      </c>
      <c r="K46" s="75"/>
    </row>
    <row r="47" spans="1:11" ht="14.25" customHeight="1" x14ac:dyDescent="0.25">
      <c r="A47" s="7" t="str">
        <f>IF(ISNUMBER(MATCH(B47,'[1]REFERENSI RAB'!$A:$A,0)),"RAB","REGULER")</f>
        <v>RAB</v>
      </c>
      <c r="B47" s="2" t="s">
        <v>25</v>
      </c>
      <c r="C47" s="18" t="s">
        <v>26</v>
      </c>
      <c r="D47" s="5" t="s">
        <v>9</v>
      </c>
      <c r="E47" s="74" t="str">
        <f>INDEX([2]!Tabel14[STOCK SISTEM],MATCH(B47,[2]!Tabel14[ITEM ID],0))</f>
        <v>8</v>
      </c>
      <c r="F47" s="5">
        <f>INDEX([1]!Tabel14[STOCK ACTUAL],MATCH(Tabel142[[#This Row],[ITEM ID]],[1]!Tabel14[ITEM ID],0))</f>
        <v>8</v>
      </c>
      <c r="G47" s="7"/>
      <c r="H47" s="73"/>
      <c r="I47" t="str">
        <f>IF(ISNUMBER(MATCH(Tabel142[ITEM ID],[2]!Tabel14[ITEM ID],0)),"ADA","TIDAK ADA")</f>
        <v>ADA</v>
      </c>
      <c r="K47" s="75"/>
    </row>
    <row r="48" spans="1:11" ht="14.25" customHeight="1" x14ac:dyDescent="0.25">
      <c r="A48" s="7" t="str">
        <f>IF(ISNUMBER(MATCH(B48,'[1]REFERENSI RAB'!$A:$A,0)),"RAB","REGULER")</f>
        <v>RAB</v>
      </c>
      <c r="B48" s="2" t="s">
        <v>27</v>
      </c>
      <c r="C48" s="18" t="s">
        <v>28</v>
      </c>
      <c r="D48" s="5" t="s">
        <v>9</v>
      </c>
      <c r="E48" s="74" t="str">
        <f>INDEX([2]!Tabel14[STOCK SISTEM],MATCH(B48,[2]!Tabel14[ITEM ID],0))</f>
        <v>0</v>
      </c>
      <c r="F48" s="5">
        <f>INDEX([1]!Tabel14[STOCK ACTUAL],MATCH(Tabel142[[#This Row],[ITEM ID]],[1]!Tabel14[ITEM ID],0))</f>
        <v>0</v>
      </c>
      <c r="G48" s="7"/>
      <c r="H48" s="73"/>
      <c r="I48" t="str">
        <f>IF(ISNUMBER(MATCH(Tabel142[ITEM ID],[2]!Tabel14[ITEM ID],0)),"ADA","TIDAK ADA")</f>
        <v>ADA</v>
      </c>
      <c r="K48" s="75"/>
    </row>
    <row r="49" spans="1:11" ht="14.25" customHeight="1" x14ac:dyDescent="0.25">
      <c r="A49" s="7" t="str">
        <f>IF(ISNUMBER(MATCH(B49,'[1]REFERENSI RAB'!$A:$A,0)),"RAB","REGULER")</f>
        <v>RAB</v>
      </c>
      <c r="B49" s="7" t="s">
        <v>458</v>
      </c>
      <c r="C49" t="s">
        <v>459</v>
      </c>
      <c r="D49" s="5" t="s">
        <v>91</v>
      </c>
      <c r="E49" s="74" t="str">
        <f>INDEX([2]!Tabel14[STOCK SISTEM],MATCH(B49,[2]!Tabel14[ITEM ID],0))</f>
        <v>0</v>
      </c>
      <c r="F49" s="5">
        <f>INDEX([1]!Tabel14[STOCK ACTUAL],MATCH(Tabel142[[#This Row],[ITEM ID]],[1]!Tabel14[ITEM ID],0))</f>
        <v>0</v>
      </c>
      <c r="G49" s="7"/>
      <c r="H49" s="73"/>
      <c r="I49" t="str">
        <f>IF(ISNUMBER(MATCH(Tabel142[ITEM ID],[2]!Tabel14[ITEM ID],0)),"ADA","TIDAK ADA")</f>
        <v>ADA</v>
      </c>
      <c r="K49" s="75"/>
    </row>
    <row r="50" spans="1:11" ht="14.25" customHeight="1" x14ac:dyDescent="0.25">
      <c r="A50" s="7" t="str">
        <f>IF(ISNUMBER(MATCH(B50,'[1]REFERENSI RAB'!$A:$A,0)),"RAB","REGULER")</f>
        <v>RAB</v>
      </c>
      <c r="B50" s="7" t="s">
        <v>98</v>
      </c>
      <c r="C50" s="4" t="s">
        <v>99</v>
      </c>
      <c r="D50" s="12" t="s">
        <v>91</v>
      </c>
      <c r="E50" s="74">
        <f>INDEX([2]!Tabel14[STOCK SISTEM],MATCH(B50,[2]!Tabel14[ITEM ID],0))</f>
        <v>137</v>
      </c>
      <c r="F50" s="5">
        <f>INDEX([1]!Tabel14[STOCK ACTUAL],MATCH(Tabel142[[#This Row],[ITEM ID]],[1]!Tabel14[ITEM ID],0))</f>
        <v>137</v>
      </c>
      <c r="G50" s="6"/>
      <c r="H50" s="73"/>
      <c r="I50" t="str">
        <f>IF(ISNUMBER(MATCH(Tabel142[ITEM ID],[2]!Tabel14[ITEM ID],0)),"ADA","TIDAK ADA")</f>
        <v>ADA</v>
      </c>
      <c r="K50" s="75"/>
    </row>
    <row r="51" spans="1:11" ht="14.25" customHeight="1" x14ac:dyDescent="0.25">
      <c r="A51" s="7" t="str">
        <f>IF(ISNUMBER(MATCH(B51,'[1]REFERENSI RAB'!$A:$A,0)),"RAB","REGULER")</f>
        <v>RAB</v>
      </c>
      <c r="B51" s="7" t="s">
        <v>92</v>
      </c>
      <c r="C51" s="4" t="s">
        <v>93</v>
      </c>
      <c r="D51" s="12" t="s">
        <v>91</v>
      </c>
      <c r="E51" s="74">
        <f>INDEX([2]!Tabel14[STOCK SISTEM],MATCH(B51,[2]!Tabel14[ITEM ID],0))</f>
        <v>77</v>
      </c>
      <c r="F51" s="5">
        <f>INDEX([1]!Tabel14[STOCK ACTUAL],MATCH(Tabel142[[#This Row],[ITEM ID]],[1]!Tabel14[ITEM ID],0))</f>
        <v>77</v>
      </c>
      <c r="G51" s="6"/>
      <c r="H51" s="73"/>
      <c r="I51" t="str">
        <f>IF(ISNUMBER(MATCH(Tabel142[ITEM ID],[2]!Tabel14[ITEM ID],0)),"ADA","TIDAK ADA")</f>
        <v>ADA</v>
      </c>
      <c r="K51" s="75"/>
    </row>
    <row r="52" spans="1:11" ht="14.25" customHeight="1" x14ac:dyDescent="0.25">
      <c r="A52" s="7" t="str">
        <f>IF(ISNUMBER(MATCH(B52,'[1]REFERENSI RAB'!$A:$A,0)),"RAB","REGULER")</f>
        <v>RAB</v>
      </c>
      <c r="B52" s="7" t="s">
        <v>89</v>
      </c>
      <c r="C52" s="4" t="s">
        <v>90</v>
      </c>
      <c r="D52" s="12" t="s">
        <v>91</v>
      </c>
      <c r="E52" s="74" t="str">
        <f>INDEX([2]!Tabel14[STOCK SISTEM],MATCH(B52,[2]!Tabel14[ITEM ID],0))</f>
        <v>0</v>
      </c>
      <c r="F52" s="5">
        <f>INDEX([1]!Tabel14[STOCK ACTUAL],MATCH(Tabel142[[#This Row],[ITEM ID]],[1]!Tabel14[ITEM ID],0))</f>
        <v>0</v>
      </c>
      <c r="G52" s="6"/>
      <c r="H52" s="73"/>
      <c r="I52" t="str">
        <f>IF(ISNUMBER(MATCH(Tabel142[ITEM ID],[2]!Tabel14[ITEM ID],0)),"ADA","TIDAK ADA")</f>
        <v>ADA</v>
      </c>
      <c r="K52" s="75"/>
    </row>
    <row r="53" spans="1:11" ht="14.25" customHeight="1" x14ac:dyDescent="0.25">
      <c r="A53" s="7" t="str">
        <f>IF(ISNUMBER(MATCH(B53,'[1]REFERENSI RAB'!$A:$A,0)),"RAB","REGULER")</f>
        <v>RAB</v>
      </c>
      <c r="B53" s="7" t="s">
        <v>94</v>
      </c>
      <c r="C53" t="s">
        <v>95</v>
      </c>
      <c r="D53" s="12" t="s">
        <v>91</v>
      </c>
      <c r="E53" s="74" t="str">
        <f>INDEX([2]!Tabel14[STOCK SISTEM],MATCH(B53,[2]!Tabel14[ITEM ID],0))</f>
        <v>65</v>
      </c>
      <c r="F53" s="5">
        <f>INDEX([1]!Tabel14[STOCK ACTUAL],MATCH(Tabel142[[#This Row],[ITEM ID]],[1]!Tabel14[ITEM ID],0))</f>
        <v>65</v>
      </c>
      <c r="G53" s="6"/>
      <c r="H53" s="73"/>
      <c r="I53" t="str">
        <f>IF(ISNUMBER(MATCH(Tabel142[ITEM ID],[2]!Tabel14[ITEM ID],0)),"ADA","TIDAK ADA")</f>
        <v>ADA</v>
      </c>
      <c r="K53" s="75"/>
    </row>
    <row r="54" spans="1:11" ht="14.25" customHeight="1" x14ac:dyDescent="0.25">
      <c r="A54" s="7" t="str">
        <f>IF(ISNUMBER(MATCH(B54,'[1]REFERENSI RAB'!$A:$A,0)),"RAB","REGULER")</f>
        <v>RAB</v>
      </c>
      <c r="B54" s="7" t="s">
        <v>96</v>
      </c>
      <c r="C54" s="4" t="s">
        <v>97</v>
      </c>
      <c r="D54" s="12" t="s">
        <v>91</v>
      </c>
      <c r="E54" s="74" t="str">
        <f>INDEX([2]!Tabel14[STOCK SISTEM],MATCH(B54,[2]!Tabel14[ITEM ID],0))</f>
        <v>0</v>
      </c>
      <c r="F54" s="5">
        <f>INDEX([1]!Tabel14[STOCK ACTUAL],MATCH(Tabel142[[#This Row],[ITEM ID]],[1]!Tabel14[ITEM ID],0))</f>
        <v>0</v>
      </c>
      <c r="G54" s="6"/>
      <c r="H54" s="73"/>
      <c r="I54" t="str">
        <f>IF(ISNUMBER(MATCH(Tabel142[ITEM ID],[2]!Tabel14[ITEM ID],0)),"ADA","TIDAK ADA")</f>
        <v>ADA</v>
      </c>
      <c r="K54" s="75"/>
    </row>
    <row r="55" spans="1:11" ht="14.25" customHeight="1" x14ac:dyDescent="0.25">
      <c r="A55" s="7" t="str">
        <f>IF(ISNUMBER(MATCH(B55,'[1]REFERENSI RAB'!$A:$A,0)),"RAB","REGULER")</f>
        <v>RAB</v>
      </c>
      <c r="B55" s="2" t="s">
        <v>36</v>
      </c>
      <c r="C55" s="20" t="s">
        <v>37</v>
      </c>
      <c r="D55" s="5" t="s">
        <v>9</v>
      </c>
      <c r="E55" s="74" t="str">
        <f>INDEX([2]!Tabel14[STOCK SISTEM],MATCH(B55,[2]!Tabel14[ITEM ID],0))</f>
        <v>0</v>
      </c>
      <c r="F55" s="5">
        <f>INDEX([1]!Tabel14[STOCK ACTUAL],MATCH(Tabel142[[#This Row],[ITEM ID]],[1]!Tabel14[ITEM ID],0))</f>
        <v>0</v>
      </c>
      <c r="G55" s="7"/>
      <c r="H55" s="73" t="s">
        <v>113</v>
      </c>
      <c r="I55" t="str">
        <f>IF(ISNUMBER(MATCH(Tabel142[ITEM ID],[2]!Tabel14[ITEM ID],0)),"ADA","TIDAK ADA")</f>
        <v>ADA</v>
      </c>
      <c r="K55" s="75"/>
    </row>
    <row r="56" spans="1:11" ht="14.25" customHeight="1" x14ac:dyDescent="0.25">
      <c r="A56" s="7" t="str">
        <f>IF(ISNUMBER(MATCH(B56,'[1]REFERENSI RAB'!$A:$A,0)),"RAB","REGULER")</f>
        <v>RAB</v>
      </c>
      <c r="B56" s="2" t="s">
        <v>38</v>
      </c>
      <c r="C56" s="19" t="s">
        <v>39</v>
      </c>
      <c r="D56" s="5" t="s">
        <v>9</v>
      </c>
      <c r="E56" s="74" t="str">
        <f>INDEX([2]!Tabel14[STOCK SISTEM],MATCH(B56,[2]!Tabel14[ITEM ID],0))</f>
        <v>0</v>
      </c>
      <c r="F56" s="5">
        <f>INDEX([1]!Tabel14[STOCK ACTUAL],MATCH(Tabel142[[#This Row],[ITEM ID]],[1]!Tabel14[ITEM ID],0))</f>
        <v>0</v>
      </c>
      <c r="G56" s="7"/>
      <c r="H56" s="73"/>
      <c r="I56" t="str">
        <f>IF(ISNUMBER(MATCH(Tabel142[ITEM ID],[2]!Tabel14[ITEM ID],0)),"ADA","TIDAK ADA")</f>
        <v>ADA</v>
      </c>
      <c r="K56" s="75"/>
    </row>
    <row r="57" spans="1:11" ht="14.25" customHeight="1" x14ac:dyDescent="0.25">
      <c r="A57" s="7" t="str">
        <f>IF(ISNUMBER(MATCH(B57,'[1]REFERENSI RAB'!$A:$A,0)),"RAB","REGULER")</f>
        <v>RAB</v>
      </c>
      <c r="B57" s="2" t="s">
        <v>86</v>
      </c>
      <c r="C57" s="19" t="s">
        <v>87</v>
      </c>
      <c r="D57" s="5" t="s">
        <v>88</v>
      </c>
      <c r="E57" s="74" t="str">
        <f>INDEX([2]!Tabel14[STOCK SISTEM],MATCH(B57,[2]!Tabel14[ITEM ID],0))</f>
        <v>1</v>
      </c>
      <c r="F57" s="5">
        <f>INDEX([1]!Tabel14[STOCK ACTUAL],MATCH(Tabel142[[#This Row],[ITEM ID]],[1]!Tabel14[ITEM ID],0))</f>
        <v>1</v>
      </c>
      <c r="G57" s="7"/>
      <c r="H57" s="73"/>
      <c r="I57" t="str">
        <f>IF(ISNUMBER(MATCH(Tabel142[ITEM ID],[2]!Tabel14[ITEM ID],0)),"ADA","TIDAK ADA")</f>
        <v>ADA</v>
      </c>
      <c r="K57" s="75"/>
    </row>
    <row r="58" spans="1:11" ht="14.25" customHeight="1" x14ac:dyDescent="0.25">
      <c r="A58" s="7" t="str">
        <f>IF(ISNUMBER(MATCH(B58,'[1]REFERENSI RAB'!$A:$A,0)),"RAB","REGULER")</f>
        <v>RAB</v>
      </c>
      <c r="B58" s="2" t="s">
        <v>40</v>
      </c>
      <c r="C58" s="19" t="s">
        <v>41</v>
      </c>
      <c r="D58" s="5" t="s">
        <v>9</v>
      </c>
      <c r="E58" s="74" t="str">
        <f>INDEX([2]!Tabel14[STOCK SISTEM],MATCH(B58,[2]!Tabel14[ITEM ID],0))</f>
        <v>20</v>
      </c>
      <c r="F58" s="5">
        <f>INDEX([1]!Tabel14[STOCK ACTUAL],MATCH(Tabel142[[#This Row],[ITEM ID]],[1]!Tabel14[ITEM ID],0))</f>
        <v>20</v>
      </c>
      <c r="G58" s="6"/>
      <c r="H58" s="73"/>
      <c r="I58" t="str">
        <f>IF(ISNUMBER(MATCH(Tabel142[ITEM ID],[2]!Tabel14[ITEM ID],0)),"ADA","TIDAK ADA")</f>
        <v>ADA</v>
      </c>
      <c r="K58" s="75"/>
    </row>
    <row r="59" spans="1:11" ht="14.25" customHeight="1" x14ac:dyDescent="0.25">
      <c r="A59" s="7" t="str">
        <f>IF(ISNUMBER(MATCH(B59,'[1]REFERENSI RAB'!$A:$A,0)),"RAB","REGULER")</f>
        <v>RAB</v>
      </c>
      <c r="B59" s="2" t="s">
        <v>42</v>
      </c>
      <c r="C59" s="20" t="s">
        <v>43</v>
      </c>
      <c r="D59" s="5" t="s">
        <v>9</v>
      </c>
      <c r="E59" s="74" t="str">
        <f>INDEX([2]!Tabel14[STOCK SISTEM],MATCH(B59,[2]!Tabel14[ITEM ID],0))</f>
        <v>0</v>
      </c>
      <c r="F59" s="5">
        <f>INDEX([1]!Tabel14[STOCK ACTUAL],MATCH(Tabel142[[#This Row],[ITEM ID]],[1]!Tabel14[ITEM ID],0))</f>
        <v>0</v>
      </c>
      <c r="G59" s="7"/>
      <c r="H59" s="73"/>
      <c r="I59" t="str">
        <f>IF(ISNUMBER(MATCH(Tabel142[ITEM ID],[2]!Tabel14[ITEM ID],0)),"ADA","TIDAK ADA")</f>
        <v>ADA</v>
      </c>
      <c r="K59" s="75"/>
    </row>
    <row r="60" spans="1:11" ht="14.25" customHeight="1" x14ac:dyDescent="0.25">
      <c r="A60" s="7" t="str">
        <f>IF(ISNUMBER(MATCH(B60,'[1]REFERENSI RAB'!$A:$A,0)),"RAB","REGULER")</f>
        <v>RAB</v>
      </c>
      <c r="B60" s="2" t="s">
        <v>29</v>
      </c>
      <c r="C60" s="18" t="s">
        <v>30</v>
      </c>
      <c r="D60" s="5" t="s">
        <v>31</v>
      </c>
      <c r="E60" s="74" t="str">
        <f>INDEX([2]!Tabel14[STOCK SISTEM],MATCH(B60,[2]!Tabel14[ITEM ID],0))</f>
        <v>0</v>
      </c>
      <c r="F60" s="5">
        <f>INDEX([1]!Tabel14[STOCK ACTUAL],MATCH(Tabel142[[#This Row],[ITEM ID]],[1]!Tabel14[ITEM ID],0))</f>
        <v>0</v>
      </c>
      <c r="G60" s="7"/>
      <c r="H60" s="73"/>
      <c r="I60" t="str">
        <f>IF(ISNUMBER(MATCH(Tabel142[ITEM ID],[2]!Tabel14[ITEM ID],0)),"ADA","TIDAK ADA")</f>
        <v>ADA</v>
      </c>
      <c r="K60" s="75"/>
    </row>
    <row r="61" spans="1:11" ht="14.25" customHeight="1" x14ac:dyDescent="0.25">
      <c r="A61" s="7" t="str">
        <f>IF(ISNUMBER(MATCH(B61,'[1]REFERENSI RAB'!$A:$A,0)),"RAB","REGULER")</f>
        <v>RAB</v>
      </c>
      <c r="B61" s="2" t="s">
        <v>32</v>
      </c>
      <c r="C61" s="18" t="s">
        <v>33</v>
      </c>
      <c r="D61" s="5" t="s">
        <v>9</v>
      </c>
      <c r="E61" s="74" t="str">
        <f>INDEX([2]!Tabel14[STOCK SISTEM],MATCH(B61,[2]!Tabel14[ITEM ID],0))</f>
        <v>1</v>
      </c>
      <c r="F61" s="5">
        <f>INDEX([1]!Tabel14[STOCK ACTUAL],MATCH(Tabel142[[#This Row],[ITEM ID]],[1]!Tabel14[ITEM ID],0))</f>
        <v>1</v>
      </c>
      <c r="G61" s="7"/>
      <c r="H61" s="73"/>
      <c r="I61" t="str">
        <f>IF(ISNUMBER(MATCH(Tabel142[ITEM ID],[2]!Tabel14[ITEM ID],0)),"ADA","TIDAK ADA")</f>
        <v>ADA</v>
      </c>
      <c r="K61" s="75"/>
    </row>
    <row r="62" spans="1:11" ht="14.25" customHeight="1" x14ac:dyDescent="0.25">
      <c r="A62" s="7" t="str">
        <f>IF(ISNUMBER(MATCH(B62,'[1]REFERENSI RAB'!$A:$A,0)),"RAB","REGULER")</f>
        <v>RAB</v>
      </c>
      <c r="B62" s="7" t="s">
        <v>34</v>
      </c>
      <c r="C62" s="4" t="s">
        <v>35</v>
      </c>
      <c r="D62" s="5" t="s">
        <v>9</v>
      </c>
      <c r="E62" s="74" t="str">
        <f>INDEX([2]!Tabel14[STOCK SISTEM],MATCH(B62,[2]!Tabel14[ITEM ID],0))</f>
        <v>5</v>
      </c>
      <c r="F62" s="5">
        <f>INDEX([1]!Tabel14[STOCK ACTUAL],MATCH(Tabel142[[#This Row],[ITEM ID]],[1]!Tabel14[ITEM ID],0))</f>
        <v>5</v>
      </c>
      <c r="G62" s="7"/>
      <c r="I62" t="str">
        <f>IF(ISNUMBER(MATCH(Tabel142[ITEM ID],[2]!Tabel14[ITEM ID],0)),"ADA","TIDAK ADA")</f>
        <v>ADA</v>
      </c>
      <c r="K62" s="75"/>
    </row>
    <row r="63" spans="1:11" ht="14.25" customHeight="1" x14ac:dyDescent="0.25">
      <c r="K63" s="75"/>
    </row>
    <row r="64" spans="1:11" ht="14.25" customHeight="1" x14ac:dyDescent="0.25">
      <c r="K64" s="75"/>
    </row>
    <row r="65" spans="1:11" ht="14.25" customHeight="1" x14ac:dyDescent="0.25">
      <c r="K65" s="75"/>
    </row>
    <row r="66" spans="1:11" ht="14.25" customHeight="1" x14ac:dyDescent="0.25">
      <c r="K66" s="75"/>
    </row>
    <row r="67" spans="1:11" s="10" customFormat="1" ht="14.25" customHeight="1" x14ac:dyDescent="0.25">
      <c r="A67"/>
      <c r="B67"/>
      <c r="C67"/>
      <c r="D67" s="13"/>
      <c r="E67"/>
      <c r="F67"/>
      <c r="G67"/>
      <c r="H67"/>
      <c r="K67" s="75"/>
    </row>
    <row r="68" spans="1:11" s="10" customFormat="1" ht="14.25" customHeight="1" x14ac:dyDescent="0.25">
      <c r="A68"/>
      <c r="B68"/>
      <c r="C68"/>
      <c r="D68" s="13"/>
      <c r="E68"/>
      <c r="F68"/>
      <c r="G68"/>
      <c r="H68"/>
      <c r="K68" s="75"/>
    </row>
    <row r="69" spans="1:11" s="10" customFormat="1" ht="14.25" customHeight="1" x14ac:dyDescent="0.25">
      <c r="A69"/>
      <c r="B69"/>
      <c r="C69"/>
      <c r="D69" s="13"/>
      <c r="E69"/>
      <c r="F69"/>
      <c r="G69"/>
      <c r="H69"/>
      <c r="K69" s="75"/>
    </row>
    <row r="70" spans="1:11" s="10" customFormat="1" ht="14.25" customHeight="1" x14ac:dyDescent="0.25">
      <c r="A70"/>
      <c r="B70"/>
      <c r="C70"/>
      <c r="D70" s="13"/>
      <c r="E70"/>
      <c r="F70"/>
      <c r="G70"/>
      <c r="H70"/>
      <c r="K70" s="75"/>
    </row>
    <row r="71" spans="1:11" s="10" customFormat="1" ht="14.25" customHeight="1" x14ac:dyDescent="0.25">
      <c r="A71"/>
      <c r="B71"/>
      <c r="C71"/>
      <c r="D71" s="13"/>
      <c r="E71"/>
      <c r="F71"/>
      <c r="G71"/>
      <c r="H71"/>
      <c r="K71" s="75"/>
    </row>
    <row r="72" spans="1:11" s="10" customFormat="1" ht="14.25" customHeight="1" x14ac:dyDescent="0.25">
      <c r="A72"/>
      <c r="B72"/>
      <c r="C72"/>
      <c r="D72" s="13"/>
      <c r="E72"/>
      <c r="F72"/>
      <c r="G72"/>
      <c r="H72"/>
      <c r="K72" s="75"/>
    </row>
    <row r="73" spans="1:11" s="10" customFormat="1" ht="14.25" customHeight="1" x14ac:dyDescent="0.25">
      <c r="A73"/>
      <c r="B73"/>
      <c r="C73"/>
      <c r="D73" s="13"/>
      <c r="E73"/>
      <c r="F73"/>
      <c r="G73"/>
      <c r="H73"/>
      <c r="K73" s="76"/>
    </row>
    <row r="74" spans="1:11" s="10" customFormat="1" ht="14.25" customHeight="1" x14ac:dyDescent="0.25">
      <c r="A74"/>
      <c r="B74"/>
      <c r="C74"/>
      <c r="D74" s="13"/>
      <c r="E74"/>
      <c r="F74"/>
      <c r="G74"/>
      <c r="H74"/>
    </row>
    <row r="75" spans="1:11" s="10" customFormat="1" ht="14.25" customHeight="1" x14ac:dyDescent="0.25">
      <c r="A75"/>
      <c r="B75"/>
      <c r="C75"/>
      <c r="D75" s="13"/>
      <c r="E75"/>
      <c r="F75"/>
      <c r="G75"/>
      <c r="H75"/>
    </row>
    <row r="76" spans="1:11" s="10" customFormat="1" ht="14.25" customHeight="1" x14ac:dyDescent="0.25">
      <c r="A76"/>
      <c r="B76"/>
      <c r="C76"/>
      <c r="D76" s="13"/>
      <c r="E76"/>
      <c r="F76"/>
      <c r="G76"/>
      <c r="H76"/>
    </row>
    <row r="77" spans="1:11" s="10" customFormat="1" ht="14.25" customHeight="1" x14ac:dyDescent="0.25">
      <c r="A77"/>
      <c r="B77"/>
      <c r="C77"/>
      <c r="D77" s="13"/>
      <c r="E77"/>
      <c r="F77"/>
      <c r="G77"/>
      <c r="H77"/>
    </row>
    <row r="78" spans="1:11" s="10" customFormat="1" ht="14.25" customHeight="1" x14ac:dyDescent="0.25">
      <c r="A78"/>
      <c r="B78"/>
      <c r="C78"/>
      <c r="D78" s="13"/>
      <c r="E78"/>
      <c r="F78"/>
      <c r="G78"/>
      <c r="H78"/>
    </row>
    <row r="79" spans="1:11" s="10" customFormat="1" ht="14.25" customHeight="1" x14ac:dyDescent="0.25">
      <c r="A79"/>
      <c r="B79"/>
      <c r="C79"/>
      <c r="D79" s="13"/>
      <c r="E79"/>
      <c r="F79"/>
      <c r="G79"/>
      <c r="H79"/>
    </row>
    <row r="80" spans="1:11" s="10" customFormat="1" ht="14.25" customHeight="1" x14ac:dyDescent="0.25">
      <c r="A80"/>
      <c r="B80"/>
      <c r="C80"/>
      <c r="D80" s="13"/>
      <c r="E80"/>
      <c r="F80"/>
      <c r="G80"/>
      <c r="H80"/>
    </row>
    <row r="81" spans="1:8" s="10" customFormat="1" ht="14.25" customHeight="1" x14ac:dyDescent="0.25">
      <c r="A81"/>
      <c r="B81"/>
      <c r="C81"/>
      <c r="D81" s="13"/>
      <c r="E81"/>
      <c r="F81"/>
      <c r="G81"/>
      <c r="H81"/>
    </row>
    <row r="82" spans="1:8" s="10" customFormat="1" ht="14.25" customHeight="1" x14ac:dyDescent="0.25">
      <c r="A82"/>
      <c r="B82"/>
      <c r="C82"/>
      <c r="D82" s="13"/>
      <c r="E82"/>
      <c r="F82"/>
      <c r="G82"/>
      <c r="H82"/>
    </row>
    <row r="83" spans="1:8" s="10" customFormat="1" ht="14.25" customHeight="1" x14ac:dyDescent="0.25">
      <c r="A83"/>
      <c r="B83"/>
      <c r="C83"/>
      <c r="D83" s="13"/>
      <c r="E83"/>
      <c r="F83"/>
      <c r="G83"/>
      <c r="H83"/>
    </row>
    <row r="84" spans="1:8" s="10" customFormat="1" ht="14.25" customHeight="1" x14ac:dyDescent="0.25">
      <c r="A84"/>
      <c r="B84"/>
      <c r="C84"/>
      <c r="D84" s="13"/>
      <c r="E84"/>
      <c r="F84"/>
      <c r="G84"/>
      <c r="H84"/>
    </row>
    <row r="85" spans="1:8" s="10" customFormat="1" ht="14.25" customHeight="1" x14ac:dyDescent="0.25">
      <c r="A85"/>
      <c r="B85"/>
      <c r="C85"/>
      <c r="D85" s="13"/>
      <c r="E85"/>
      <c r="F85"/>
      <c r="G85"/>
      <c r="H85"/>
    </row>
    <row r="86" spans="1:8" s="10" customFormat="1" ht="14.25" customHeight="1" x14ac:dyDescent="0.25">
      <c r="A86"/>
      <c r="B86"/>
      <c r="C86"/>
      <c r="D86" s="13"/>
      <c r="E86"/>
      <c r="F86"/>
      <c r="G86"/>
      <c r="H86"/>
    </row>
    <row r="87" spans="1:8" s="10" customFormat="1" ht="14.25" customHeight="1" x14ac:dyDescent="0.25">
      <c r="A87"/>
      <c r="B87"/>
      <c r="C87"/>
      <c r="D87" s="13"/>
      <c r="E87"/>
      <c r="F87"/>
      <c r="G87"/>
      <c r="H87"/>
    </row>
    <row r="88" spans="1:8" s="10" customFormat="1" ht="14.25" customHeight="1" x14ac:dyDescent="0.25">
      <c r="A88"/>
      <c r="B88"/>
      <c r="C88"/>
      <c r="D88" s="13"/>
      <c r="E88"/>
      <c r="F88"/>
      <c r="G88"/>
      <c r="H88"/>
    </row>
    <row r="89" spans="1:8" s="10" customFormat="1" ht="14.25" customHeight="1" x14ac:dyDescent="0.25">
      <c r="A89"/>
      <c r="B89"/>
      <c r="C89"/>
      <c r="D89" s="13"/>
      <c r="E89"/>
      <c r="F89"/>
      <c r="G89"/>
      <c r="H89"/>
    </row>
    <row r="90" spans="1:8" s="10" customFormat="1" ht="14.25" customHeight="1" x14ac:dyDescent="0.25">
      <c r="A90"/>
      <c r="B90"/>
      <c r="C90"/>
      <c r="D90" s="13"/>
      <c r="E90"/>
      <c r="F90"/>
      <c r="G90"/>
      <c r="H90"/>
    </row>
    <row r="91" spans="1:8" s="10" customFormat="1" ht="14.25" customHeight="1" x14ac:dyDescent="0.25">
      <c r="A91"/>
      <c r="B91"/>
      <c r="C91"/>
      <c r="D91" s="13"/>
      <c r="E91"/>
      <c r="F91"/>
      <c r="G91"/>
      <c r="H91"/>
    </row>
    <row r="92" spans="1:8" s="10" customFormat="1" ht="14.25" customHeight="1" x14ac:dyDescent="0.25">
      <c r="A92"/>
      <c r="B92"/>
      <c r="C92"/>
      <c r="D92" s="13"/>
      <c r="E92"/>
      <c r="F92"/>
      <c r="G92"/>
      <c r="H92"/>
    </row>
    <row r="93" spans="1:8" s="10" customFormat="1" ht="14.25" customHeight="1" x14ac:dyDescent="0.25">
      <c r="A93"/>
      <c r="B93"/>
      <c r="C93"/>
      <c r="D93" s="13"/>
      <c r="E93"/>
      <c r="F93"/>
      <c r="G93"/>
      <c r="H93"/>
    </row>
    <row r="94" spans="1:8" s="10" customFormat="1" ht="14.25" customHeight="1" x14ac:dyDescent="0.25">
      <c r="A94"/>
      <c r="B94"/>
      <c r="C94"/>
      <c r="D94" s="13"/>
      <c r="E94"/>
      <c r="F94"/>
      <c r="G94"/>
      <c r="H94"/>
    </row>
    <row r="95" spans="1:8" s="10" customFormat="1" ht="14.25" customHeight="1" x14ac:dyDescent="0.25">
      <c r="A95"/>
      <c r="B95"/>
      <c r="C95"/>
      <c r="D95" s="13"/>
      <c r="E95"/>
      <c r="F95"/>
      <c r="G95"/>
      <c r="H95"/>
    </row>
    <row r="96" spans="1:8" s="10" customFormat="1" ht="14.25" customHeight="1" x14ac:dyDescent="0.25">
      <c r="A96"/>
      <c r="B96"/>
      <c r="C96"/>
      <c r="D96" s="13"/>
      <c r="E96"/>
      <c r="F96"/>
      <c r="G96"/>
      <c r="H96"/>
    </row>
    <row r="97" spans="1:8" s="10" customFormat="1" ht="14.25" customHeight="1" x14ac:dyDescent="0.25">
      <c r="A97"/>
      <c r="B97"/>
      <c r="C97"/>
      <c r="D97" s="13"/>
      <c r="E97"/>
      <c r="F97"/>
      <c r="G97"/>
      <c r="H97"/>
    </row>
    <row r="98" spans="1:8" s="10" customFormat="1" ht="14.25" customHeight="1" x14ac:dyDescent="0.25">
      <c r="A98"/>
      <c r="B98"/>
      <c r="C98"/>
      <c r="D98" s="13"/>
      <c r="E98"/>
      <c r="F98"/>
      <c r="G98"/>
      <c r="H98"/>
    </row>
    <row r="99" spans="1:8" s="10" customFormat="1" ht="14.25" customHeight="1" x14ac:dyDescent="0.25">
      <c r="A99"/>
      <c r="B99"/>
      <c r="C99"/>
      <c r="D99" s="13"/>
      <c r="E99"/>
      <c r="F99"/>
      <c r="G99"/>
      <c r="H99"/>
    </row>
    <row r="100" spans="1:8" s="10" customFormat="1" ht="14.25" customHeight="1" x14ac:dyDescent="0.25">
      <c r="A100"/>
      <c r="B100"/>
      <c r="C100"/>
      <c r="D100" s="13"/>
      <c r="E100"/>
      <c r="F100"/>
      <c r="G100"/>
      <c r="H100"/>
    </row>
    <row r="101" spans="1:8" s="10" customFormat="1" ht="14.25" customHeight="1" x14ac:dyDescent="0.25">
      <c r="A101"/>
      <c r="B101"/>
      <c r="C101"/>
      <c r="D101" s="13"/>
      <c r="E101"/>
      <c r="F101"/>
      <c r="G101"/>
      <c r="H101"/>
    </row>
    <row r="102" spans="1:8" s="10" customFormat="1" ht="14.25" customHeight="1" x14ac:dyDescent="0.25">
      <c r="A102"/>
      <c r="B102"/>
      <c r="C102"/>
      <c r="D102" s="13"/>
      <c r="E102"/>
      <c r="F102"/>
      <c r="G102"/>
      <c r="H102"/>
    </row>
    <row r="103" spans="1:8" s="10" customFormat="1" ht="14.25" customHeight="1" x14ac:dyDescent="0.25">
      <c r="A103"/>
      <c r="B103"/>
      <c r="C103"/>
      <c r="D103" s="13"/>
      <c r="E103"/>
      <c r="F103"/>
      <c r="G103"/>
      <c r="H103"/>
    </row>
    <row r="104" spans="1:8" s="10" customFormat="1" ht="14.25" customHeight="1" x14ac:dyDescent="0.25">
      <c r="A104"/>
      <c r="B104"/>
      <c r="C104"/>
      <c r="D104" s="13"/>
      <c r="E104"/>
      <c r="F104"/>
      <c r="G104"/>
      <c r="H104"/>
    </row>
    <row r="105" spans="1:8" s="10" customFormat="1" ht="14.25" customHeight="1" x14ac:dyDescent="0.25">
      <c r="A105"/>
      <c r="B105"/>
      <c r="C105"/>
      <c r="D105" s="13"/>
      <c r="E105"/>
      <c r="F105"/>
      <c r="G105"/>
      <c r="H105"/>
    </row>
    <row r="106" spans="1:8" s="10" customFormat="1" ht="14.25" customHeight="1" x14ac:dyDescent="0.25">
      <c r="A106"/>
      <c r="B106"/>
      <c r="C106"/>
      <c r="D106" s="13"/>
      <c r="E106"/>
      <c r="F106"/>
      <c r="G106"/>
      <c r="H106"/>
    </row>
    <row r="107" spans="1:8" s="10" customFormat="1" ht="14.25" customHeight="1" x14ac:dyDescent="0.25">
      <c r="A107"/>
      <c r="B107"/>
      <c r="C107"/>
      <c r="D107" s="13"/>
      <c r="E107"/>
      <c r="F107"/>
      <c r="G107"/>
      <c r="H107"/>
    </row>
    <row r="108" spans="1:8" s="10" customFormat="1" ht="14.25" customHeight="1" x14ac:dyDescent="0.25">
      <c r="A108"/>
      <c r="B108"/>
      <c r="C108"/>
      <c r="D108" s="13"/>
      <c r="E108"/>
      <c r="F108"/>
      <c r="G108"/>
      <c r="H108"/>
    </row>
    <row r="109" spans="1:8" s="10" customFormat="1" ht="14.25" customHeight="1" x14ac:dyDescent="0.25">
      <c r="A109"/>
      <c r="B109"/>
      <c r="C109"/>
      <c r="D109" s="13"/>
      <c r="E109"/>
      <c r="F109"/>
      <c r="G109"/>
      <c r="H109"/>
    </row>
    <row r="110" spans="1:8" s="10" customFormat="1" ht="14.25" customHeight="1" x14ac:dyDescent="0.25">
      <c r="A110"/>
      <c r="B110"/>
      <c r="C110"/>
      <c r="D110" s="13"/>
      <c r="E110"/>
      <c r="F110"/>
      <c r="G110"/>
      <c r="H110"/>
    </row>
    <row r="111" spans="1:8" s="10" customFormat="1" ht="14.25" customHeight="1" x14ac:dyDescent="0.25">
      <c r="A111"/>
      <c r="B111"/>
      <c r="C111"/>
      <c r="D111" s="13"/>
      <c r="E111"/>
      <c r="F111"/>
      <c r="G111"/>
      <c r="H111"/>
    </row>
    <row r="112" spans="1:8" s="10" customFormat="1" ht="14.25" customHeight="1" x14ac:dyDescent="0.25">
      <c r="A112"/>
      <c r="B112"/>
      <c r="C112"/>
      <c r="D112" s="13"/>
      <c r="E112"/>
      <c r="F112"/>
      <c r="G112"/>
      <c r="H112"/>
    </row>
    <row r="113" spans="1:8" s="10" customFormat="1" ht="14.25" customHeight="1" x14ac:dyDescent="0.25">
      <c r="A113"/>
      <c r="B113"/>
      <c r="C113"/>
      <c r="D113" s="13"/>
      <c r="E113"/>
      <c r="F113"/>
      <c r="G113"/>
      <c r="H113"/>
    </row>
    <row r="114" spans="1:8" s="10" customFormat="1" ht="14.25" customHeight="1" x14ac:dyDescent="0.25">
      <c r="A114"/>
      <c r="B114"/>
      <c r="C114"/>
      <c r="D114" s="13"/>
      <c r="E114"/>
      <c r="F114"/>
      <c r="G114"/>
      <c r="H114"/>
    </row>
    <row r="115" spans="1:8" s="10" customFormat="1" ht="14.25" customHeight="1" x14ac:dyDescent="0.25">
      <c r="A115"/>
      <c r="B115"/>
      <c r="C115"/>
      <c r="D115" s="13"/>
      <c r="E115"/>
      <c r="F115"/>
      <c r="G115"/>
      <c r="H115"/>
    </row>
    <row r="116" spans="1:8" s="10" customFormat="1" ht="14.25" customHeight="1" x14ac:dyDescent="0.25">
      <c r="A116"/>
      <c r="B116"/>
      <c r="C116"/>
      <c r="D116" s="13"/>
      <c r="E116"/>
      <c r="F116"/>
      <c r="G116"/>
      <c r="H116"/>
    </row>
    <row r="117" spans="1:8" s="10" customFormat="1" ht="14.25" customHeight="1" x14ac:dyDescent="0.25">
      <c r="A117"/>
      <c r="B117"/>
      <c r="C117"/>
      <c r="D117" s="13"/>
      <c r="E117"/>
      <c r="F117"/>
      <c r="G117"/>
      <c r="H117"/>
    </row>
    <row r="118" spans="1:8" s="10" customFormat="1" ht="14.25" customHeight="1" x14ac:dyDescent="0.25">
      <c r="A118"/>
      <c r="B118"/>
      <c r="C118"/>
      <c r="D118" s="13"/>
      <c r="E118"/>
      <c r="F118"/>
      <c r="G118"/>
      <c r="H118"/>
    </row>
    <row r="119" spans="1:8" s="10" customFormat="1" ht="14.25" customHeight="1" x14ac:dyDescent="0.25">
      <c r="A119"/>
      <c r="B119"/>
      <c r="C119"/>
      <c r="D119" s="13"/>
      <c r="E119"/>
      <c r="F119"/>
      <c r="G119"/>
      <c r="H119"/>
    </row>
    <row r="120" spans="1:8" s="10" customFormat="1" ht="14.25" customHeight="1" x14ac:dyDescent="0.25">
      <c r="A120"/>
      <c r="B120"/>
      <c r="C120"/>
      <c r="D120" s="13"/>
      <c r="E120"/>
      <c r="F120"/>
      <c r="G120"/>
      <c r="H120"/>
    </row>
    <row r="121" spans="1:8" s="10" customFormat="1" ht="14.25" customHeight="1" x14ac:dyDescent="0.25">
      <c r="A121"/>
      <c r="B121"/>
      <c r="C121"/>
      <c r="D121" s="13"/>
      <c r="E121"/>
      <c r="F121"/>
      <c r="G121"/>
      <c r="H121"/>
    </row>
    <row r="122" spans="1:8" s="10" customFormat="1" ht="14.25" customHeight="1" x14ac:dyDescent="0.25">
      <c r="A122"/>
      <c r="B122"/>
      <c r="C122"/>
      <c r="D122" s="13"/>
      <c r="E122"/>
      <c r="F122"/>
      <c r="G122"/>
      <c r="H122"/>
    </row>
    <row r="123" spans="1:8" s="10" customFormat="1" ht="14.25" customHeight="1" x14ac:dyDescent="0.25">
      <c r="A123"/>
      <c r="B123"/>
      <c r="C123"/>
      <c r="D123" s="13"/>
      <c r="E123"/>
      <c r="F123"/>
      <c r="G123"/>
      <c r="H123"/>
    </row>
    <row r="124" spans="1:8" s="10" customFormat="1" ht="14.25" customHeight="1" x14ac:dyDescent="0.25">
      <c r="A124"/>
      <c r="B124"/>
      <c r="C124"/>
      <c r="D124" s="13"/>
      <c r="E124"/>
      <c r="F124"/>
      <c r="G124"/>
      <c r="H124"/>
    </row>
    <row r="125" spans="1:8" s="10" customFormat="1" ht="14.25" customHeight="1" x14ac:dyDescent="0.25">
      <c r="A125"/>
      <c r="B125"/>
      <c r="C125"/>
      <c r="D125" s="13"/>
      <c r="E125"/>
      <c r="F125"/>
      <c r="G125"/>
      <c r="H125"/>
    </row>
    <row r="126" spans="1:8" s="10" customFormat="1" ht="14.25" customHeight="1" x14ac:dyDescent="0.25">
      <c r="A126"/>
      <c r="B126"/>
      <c r="C126"/>
      <c r="D126" s="13"/>
      <c r="E126"/>
      <c r="F126"/>
      <c r="G126"/>
      <c r="H126"/>
    </row>
    <row r="127" spans="1:8" s="10" customFormat="1" ht="14.25" customHeight="1" x14ac:dyDescent="0.25">
      <c r="A127"/>
      <c r="B127"/>
      <c r="C127"/>
      <c r="D127" s="13"/>
      <c r="E127"/>
      <c r="F127"/>
      <c r="G127"/>
      <c r="H127"/>
    </row>
    <row r="128" spans="1:8" s="10" customFormat="1" ht="14.25" customHeight="1" x14ac:dyDescent="0.25">
      <c r="A128"/>
      <c r="B128"/>
      <c r="C128"/>
      <c r="D128" s="13"/>
      <c r="E128"/>
      <c r="F128"/>
      <c r="G128"/>
      <c r="H128"/>
    </row>
    <row r="129" spans="1:8" s="10" customFormat="1" ht="14.25" customHeight="1" x14ac:dyDescent="0.25">
      <c r="A129"/>
      <c r="B129"/>
      <c r="C129"/>
      <c r="D129" s="13"/>
      <c r="E129"/>
      <c r="F129"/>
      <c r="G129"/>
      <c r="H129"/>
    </row>
    <row r="130" spans="1:8" s="10" customFormat="1" ht="14.25" customHeight="1" x14ac:dyDescent="0.25">
      <c r="A130"/>
      <c r="B130"/>
      <c r="C130"/>
      <c r="D130" s="13"/>
      <c r="E130"/>
      <c r="F130"/>
      <c r="G130"/>
      <c r="H130"/>
    </row>
    <row r="131" spans="1:8" s="10" customFormat="1" ht="14.25" customHeight="1" x14ac:dyDescent="0.25">
      <c r="A131"/>
      <c r="B131"/>
      <c r="C131"/>
      <c r="D131" s="13"/>
      <c r="E131"/>
      <c r="F131"/>
      <c r="G131"/>
      <c r="H131"/>
    </row>
    <row r="132" spans="1:8" s="10" customFormat="1" ht="14.25" customHeight="1" x14ac:dyDescent="0.25">
      <c r="A132"/>
      <c r="B132"/>
      <c r="C132"/>
      <c r="D132" s="13"/>
      <c r="E132"/>
      <c r="F132"/>
      <c r="G132"/>
      <c r="H132"/>
    </row>
    <row r="133" spans="1:8" s="10" customFormat="1" ht="14.25" customHeight="1" x14ac:dyDescent="0.25">
      <c r="A133"/>
      <c r="B133"/>
      <c r="C133"/>
      <c r="D133" s="13"/>
      <c r="E133"/>
      <c r="F133"/>
      <c r="G133"/>
      <c r="H133"/>
    </row>
    <row r="134" spans="1:8" s="10" customFormat="1" ht="14.25" customHeight="1" x14ac:dyDescent="0.25">
      <c r="A134"/>
      <c r="B134"/>
      <c r="C134"/>
      <c r="D134" s="13"/>
      <c r="E134"/>
      <c r="F134"/>
      <c r="G134"/>
      <c r="H134"/>
    </row>
    <row r="135" spans="1:8" s="10" customFormat="1" ht="14.25" customHeight="1" x14ac:dyDescent="0.25">
      <c r="A135"/>
      <c r="B135"/>
      <c r="C135"/>
      <c r="D135" s="13"/>
      <c r="E135"/>
      <c r="F135"/>
      <c r="G135"/>
      <c r="H135"/>
    </row>
    <row r="136" spans="1:8" s="10" customFormat="1" ht="14.25" customHeight="1" x14ac:dyDescent="0.25">
      <c r="A136"/>
      <c r="B136"/>
      <c r="C136"/>
      <c r="D136" s="13"/>
      <c r="E136"/>
      <c r="F136"/>
      <c r="G136"/>
      <c r="H136"/>
    </row>
    <row r="137" spans="1:8" s="10" customFormat="1" ht="14.25" customHeight="1" x14ac:dyDescent="0.25">
      <c r="A137"/>
      <c r="B137"/>
      <c r="C137"/>
      <c r="D137" s="13"/>
      <c r="E137"/>
      <c r="F137"/>
      <c r="G137"/>
      <c r="H137"/>
    </row>
    <row r="138" spans="1:8" s="10" customFormat="1" ht="14.25" customHeight="1" x14ac:dyDescent="0.25">
      <c r="A138"/>
      <c r="B138"/>
      <c r="C138"/>
      <c r="D138" s="13"/>
      <c r="E138"/>
      <c r="F138"/>
      <c r="G138"/>
      <c r="H138"/>
    </row>
    <row r="139" spans="1:8" s="10" customFormat="1" ht="14.25" customHeight="1" x14ac:dyDescent="0.25">
      <c r="A139"/>
      <c r="B139"/>
      <c r="C139"/>
      <c r="D139" s="13"/>
      <c r="E139"/>
      <c r="F139"/>
      <c r="G139"/>
      <c r="H139"/>
    </row>
    <row r="140" spans="1:8" s="10" customFormat="1" ht="14.25" customHeight="1" x14ac:dyDescent="0.25">
      <c r="A140"/>
      <c r="B140"/>
      <c r="C140"/>
      <c r="D140" s="13"/>
      <c r="E140"/>
      <c r="F140"/>
      <c r="G140"/>
      <c r="H140"/>
    </row>
    <row r="141" spans="1:8" s="10" customFormat="1" ht="14.25" customHeight="1" x14ac:dyDescent="0.25">
      <c r="A141"/>
      <c r="B141"/>
      <c r="C141"/>
      <c r="D141" s="13"/>
      <c r="E141"/>
      <c r="F141"/>
      <c r="G141"/>
      <c r="H141"/>
    </row>
    <row r="142" spans="1:8" s="10" customFormat="1" ht="14.25" customHeight="1" x14ac:dyDescent="0.25">
      <c r="A142"/>
      <c r="B142"/>
      <c r="C142"/>
      <c r="D142" s="13"/>
      <c r="E142"/>
      <c r="F142"/>
      <c r="G142"/>
      <c r="H142"/>
    </row>
    <row r="143" spans="1:8" s="10" customFormat="1" ht="14.25" customHeight="1" x14ac:dyDescent="0.25">
      <c r="A143"/>
      <c r="B143"/>
      <c r="C143"/>
      <c r="D143" s="13"/>
      <c r="E143"/>
      <c r="F143"/>
      <c r="G143"/>
      <c r="H143"/>
    </row>
    <row r="144" spans="1:8" s="10" customFormat="1" ht="14.25" customHeight="1" x14ac:dyDescent="0.25">
      <c r="A144"/>
      <c r="B144"/>
      <c r="C144"/>
      <c r="D144" s="13"/>
      <c r="E144"/>
      <c r="F144"/>
      <c r="G144"/>
      <c r="H144"/>
    </row>
    <row r="145" spans="1:8" s="10" customFormat="1" ht="14.25" customHeight="1" x14ac:dyDescent="0.25">
      <c r="A145"/>
      <c r="B145"/>
      <c r="C145"/>
      <c r="D145" s="13"/>
      <c r="E145"/>
      <c r="F145"/>
      <c r="G145"/>
      <c r="H145"/>
    </row>
    <row r="146" spans="1:8" s="10" customFormat="1" ht="14.25" customHeight="1" x14ac:dyDescent="0.25">
      <c r="A146"/>
      <c r="B146"/>
      <c r="C146"/>
      <c r="D146" s="13"/>
      <c r="E146"/>
      <c r="F146"/>
      <c r="G146"/>
      <c r="H146"/>
    </row>
    <row r="147" spans="1:8" s="10" customFormat="1" ht="14.25" customHeight="1" x14ac:dyDescent="0.25">
      <c r="A147"/>
      <c r="B147"/>
      <c r="C147"/>
      <c r="D147" s="13"/>
      <c r="E147"/>
      <c r="F147"/>
      <c r="G147"/>
      <c r="H147"/>
    </row>
    <row r="148" spans="1:8" s="10" customFormat="1" ht="14.25" customHeight="1" x14ac:dyDescent="0.25">
      <c r="A148"/>
      <c r="B148"/>
      <c r="C148"/>
      <c r="D148" s="13"/>
      <c r="E148"/>
      <c r="F148"/>
      <c r="G148"/>
      <c r="H148"/>
    </row>
    <row r="149" spans="1:8" s="10" customFormat="1" ht="14.25" customHeight="1" x14ac:dyDescent="0.25">
      <c r="A149"/>
      <c r="B149"/>
      <c r="C149"/>
      <c r="D149" s="13"/>
      <c r="E149"/>
      <c r="F149"/>
      <c r="G149"/>
      <c r="H149"/>
    </row>
    <row r="150" spans="1:8" s="10" customFormat="1" ht="14.25" customHeight="1" x14ac:dyDescent="0.25">
      <c r="A150"/>
      <c r="B150"/>
      <c r="C150"/>
      <c r="D150" s="13"/>
      <c r="E150"/>
      <c r="F150"/>
      <c r="G150"/>
      <c r="H150"/>
    </row>
    <row r="151" spans="1:8" s="10" customFormat="1" ht="14.25" customHeight="1" x14ac:dyDescent="0.25">
      <c r="A151"/>
      <c r="B151"/>
      <c r="C151"/>
      <c r="D151" s="13"/>
      <c r="E151"/>
      <c r="F151"/>
      <c r="G151"/>
      <c r="H151"/>
    </row>
    <row r="152" spans="1:8" s="10" customFormat="1" ht="14.25" customHeight="1" x14ac:dyDescent="0.25">
      <c r="A152"/>
      <c r="B152"/>
      <c r="C152"/>
      <c r="D152" s="13"/>
      <c r="E152"/>
      <c r="F152"/>
      <c r="G152"/>
      <c r="H152"/>
    </row>
    <row r="153" spans="1:8" s="10" customFormat="1" ht="14.25" customHeight="1" x14ac:dyDescent="0.25">
      <c r="A153"/>
      <c r="B153"/>
      <c r="C153"/>
      <c r="D153" s="13"/>
      <c r="E153"/>
      <c r="F153"/>
      <c r="G153"/>
      <c r="H153"/>
    </row>
    <row r="154" spans="1:8" s="10" customFormat="1" ht="14.25" customHeight="1" x14ac:dyDescent="0.25">
      <c r="A154"/>
      <c r="B154"/>
      <c r="C154"/>
      <c r="D154" s="13"/>
      <c r="E154"/>
      <c r="F154"/>
      <c r="G154"/>
      <c r="H154"/>
    </row>
    <row r="155" spans="1:8" s="10" customFormat="1" ht="14.25" customHeight="1" x14ac:dyDescent="0.25">
      <c r="A155"/>
      <c r="B155"/>
      <c r="C155"/>
      <c r="D155" s="13"/>
      <c r="E155"/>
      <c r="F155"/>
      <c r="G155"/>
      <c r="H155"/>
    </row>
    <row r="156" spans="1:8" s="10" customFormat="1" ht="14.25" customHeight="1" x14ac:dyDescent="0.25">
      <c r="A156"/>
      <c r="B156"/>
      <c r="C156"/>
      <c r="D156" s="13"/>
      <c r="E156"/>
      <c r="F156"/>
      <c r="G156"/>
      <c r="H156"/>
    </row>
    <row r="157" spans="1:8" s="10" customFormat="1" ht="14.25" customHeight="1" x14ac:dyDescent="0.25">
      <c r="A157"/>
      <c r="B157"/>
      <c r="C157"/>
      <c r="D157" s="13"/>
      <c r="E157"/>
      <c r="F157"/>
      <c r="G157"/>
      <c r="H157"/>
    </row>
    <row r="158" spans="1:8" s="10" customFormat="1" ht="14.25" customHeight="1" x14ac:dyDescent="0.25">
      <c r="A158"/>
      <c r="B158"/>
      <c r="C158"/>
      <c r="D158" s="13"/>
      <c r="E158"/>
      <c r="F158"/>
      <c r="G158"/>
      <c r="H158"/>
    </row>
    <row r="159" spans="1:8" s="10" customFormat="1" ht="14.25" customHeight="1" x14ac:dyDescent="0.25">
      <c r="A159"/>
      <c r="B159"/>
      <c r="C159"/>
      <c r="D159" s="13"/>
      <c r="E159"/>
      <c r="F159"/>
      <c r="G159"/>
      <c r="H159"/>
    </row>
    <row r="160" spans="1:8" s="10" customFormat="1" ht="14.25" customHeight="1" x14ac:dyDescent="0.25">
      <c r="A160"/>
      <c r="B160"/>
      <c r="C160"/>
      <c r="D160" s="13"/>
      <c r="E160"/>
      <c r="F160"/>
      <c r="G160"/>
      <c r="H160"/>
    </row>
    <row r="161" spans="1:8" s="10" customFormat="1" ht="14.25" customHeight="1" x14ac:dyDescent="0.25">
      <c r="A161"/>
      <c r="B161"/>
      <c r="C161"/>
      <c r="D161" s="13"/>
      <c r="E161"/>
      <c r="F161"/>
      <c r="G161"/>
      <c r="H161"/>
    </row>
    <row r="162" spans="1:8" s="10" customFormat="1" ht="14.25" customHeight="1" x14ac:dyDescent="0.25">
      <c r="A162"/>
      <c r="B162"/>
      <c r="C162"/>
      <c r="D162" s="13"/>
      <c r="E162"/>
      <c r="F162"/>
      <c r="G162"/>
      <c r="H162"/>
    </row>
    <row r="163" spans="1:8" s="10" customFormat="1" ht="14.25" customHeight="1" x14ac:dyDescent="0.25">
      <c r="A163"/>
      <c r="B163"/>
      <c r="C163"/>
      <c r="D163" s="13"/>
      <c r="E163"/>
      <c r="F163"/>
      <c r="G163"/>
      <c r="H163"/>
    </row>
    <row r="164" spans="1:8" s="10" customFormat="1" ht="14.25" customHeight="1" x14ac:dyDescent="0.25">
      <c r="A164"/>
      <c r="B164"/>
      <c r="C164"/>
      <c r="D164" s="13"/>
      <c r="E164"/>
      <c r="F164"/>
      <c r="G164"/>
      <c r="H164"/>
    </row>
    <row r="165" spans="1:8" s="10" customFormat="1" ht="14.25" customHeight="1" x14ac:dyDescent="0.25">
      <c r="A165"/>
      <c r="B165"/>
      <c r="C165"/>
      <c r="D165" s="13"/>
      <c r="E165"/>
      <c r="F165"/>
      <c r="G165"/>
      <c r="H165"/>
    </row>
    <row r="166" spans="1:8" s="10" customFormat="1" ht="14.25" customHeight="1" x14ac:dyDescent="0.25">
      <c r="A166"/>
      <c r="B166"/>
      <c r="C166"/>
      <c r="D166" s="13"/>
      <c r="E166"/>
      <c r="F166"/>
      <c r="G166"/>
      <c r="H166"/>
    </row>
    <row r="167" spans="1:8" s="10" customFormat="1" ht="14.25" customHeight="1" x14ac:dyDescent="0.25">
      <c r="A167"/>
      <c r="B167"/>
      <c r="C167"/>
      <c r="D167" s="13"/>
      <c r="E167"/>
      <c r="F167"/>
      <c r="G167"/>
      <c r="H167"/>
    </row>
    <row r="168" spans="1:8" s="10" customFormat="1" ht="14.25" customHeight="1" x14ac:dyDescent="0.25">
      <c r="A168"/>
      <c r="B168"/>
      <c r="C168"/>
      <c r="D168" s="13"/>
      <c r="E168"/>
      <c r="F168"/>
      <c r="G168"/>
      <c r="H168"/>
    </row>
    <row r="169" spans="1:8" s="10" customFormat="1" ht="14.25" customHeight="1" x14ac:dyDescent="0.25">
      <c r="A169"/>
      <c r="B169"/>
      <c r="C169"/>
      <c r="D169" s="13"/>
      <c r="E169"/>
      <c r="F169"/>
      <c r="G169"/>
      <c r="H169"/>
    </row>
    <row r="170" spans="1:8" s="10" customFormat="1" ht="14.25" customHeight="1" x14ac:dyDescent="0.25">
      <c r="A170"/>
      <c r="B170"/>
      <c r="C170"/>
      <c r="D170" s="13"/>
      <c r="E170"/>
      <c r="F170"/>
      <c r="G170"/>
      <c r="H170"/>
    </row>
    <row r="171" spans="1:8" s="10" customFormat="1" ht="14.25" customHeight="1" x14ac:dyDescent="0.25">
      <c r="A171"/>
      <c r="B171"/>
      <c r="C171"/>
      <c r="D171" s="13"/>
      <c r="E171"/>
      <c r="F171"/>
      <c r="G171"/>
      <c r="H171"/>
    </row>
    <row r="172" spans="1:8" s="10" customFormat="1" ht="14.25" customHeight="1" x14ac:dyDescent="0.25">
      <c r="A172"/>
      <c r="B172"/>
      <c r="C172"/>
      <c r="D172" s="13"/>
      <c r="E172"/>
      <c r="F172"/>
      <c r="G172"/>
      <c r="H172"/>
    </row>
    <row r="173" spans="1:8" s="10" customFormat="1" ht="14.25" customHeight="1" x14ac:dyDescent="0.25">
      <c r="A173"/>
      <c r="B173"/>
      <c r="C173"/>
      <c r="D173" s="13"/>
      <c r="E173"/>
      <c r="F173"/>
      <c r="G173"/>
      <c r="H173"/>
    </row>
    <row r="174" spans="1:8" s="10" customFormat="1" ht="14.25" customHeight="1" x14ac:dyDescent="0.25">
      <c r="A174"/>
      <c r="B174"/>
      <c r="C174"/>
      <c r="D174" s="13"/>
      <c r="E174"/>
      <c r="F174"/>
      <c r="G174"/>
      <c r="H174"/>
    </row>
    <row r="175" spans="1:8" s="10" customFormat="1" ht="14.25" customHeight="1" x14ac:dyDescent="0.25">
      <c r="A175"/>
      <c r="B175"/>
      <c r="C175"/>
      <c r="D175" s="13"/>
      <c r="E175"/>
      <c r="F175"/>
      <c r="G175"/>
      <c r="H175"/>
    </row>
    <row r="176" spans="1:8" s="10" customFormat="1" ht="14.25" customHeight="1" x14ac:dyDescent="0.25">
      <c r="A176"/>
      <c r="B176"/>
      <c r="C176"/>
      <c r="D176" s="13"/>
      <c r="E176"/>
      <c r="F176"/>
      <c r="G176"/>
      <c r="H176"/>
    </row>
    <row r="177" spans="1:8" s="10" customFormat="1" ht="14.25" customHeight="1" x14ac:dyDescent="0.25">
      <c r="A177"/>
      <c r="B177"/>
      <c r="C177"/>
      <c r="D177" s="13"/>
      <c r="E177"/>
      <c r="F177"/>
      <c r="G177"/>
      <c r="H177"/>
    </row>
    <row r="178" spans="1:8" s="10" customFormat="1" ht="14.25" customHeight="1" x14ac:dyDescent="0.25">
      <c r="A178"/>
      <c r="B178"/>
      <c r="C178"/>
      <c r="D178" s="13"/>
      <c r="E178"/>
      <c r="F178"/>
      <c r="G178"/>
      <c r="H178"/>
    </row>
    <row r="179" spans="1:8" s="10" customFormat="1" ht="14.25" customHeight="1" x14ac:dyDescent="0.25">
      <c r="A179"/>
      <c r="B179"/>
      <c r="C179"/>
      <c r="D179" s="13"/>
      <c r="E179"/>
      <c r="F179"/>
      <c r="G179"/>
      <c r="H179"/>
    </row>
    <row r="180" spans="1:8" s="10" customFormat="1" ht="14.25" customHeight="1" x14ac:dyDescent="0.25">
      <c r="A180"/>
      <c r="B180"/>
      <c r="C180"/>
      <c r="D180" s="13"/>
      <c r="E180"/>
      <c r="F180"/>
      <c r="G180"/>
      <c r="H180"/>
    </row>
    <row r="181" spans="1:8" s="10" customFormat="1" ht="14.25" customHeight="1" x14ac:dyDescent="0.25">
      <c r="A181"/>
      <c r="B181"/>
      <c r="C181"/>
      <c r="D181" s="13"/>
      <c r="E181"/>
      <c r="F181"/>
      <c r="G181"/>
      <c r="H181"/>
    </row>
    <row r="182" spans="1:8" s="10" customFormat="1" ht="14.25" customHeight="1" x14ac:dyDescent="0.25">
      <c r="A182"/>
      <c r="B182"/>
      <c r="C182"/>
      <c r="D182" s="13"/>
      <c r="E182"/>
      <c r="F182"/>
      <c r="G182"/>
      <c r="H182"/>
    </row>
    <row r="183" spans="1:8" s="10" customFormat="1" ht="14.25" customHeight="1" x14ac:dyDescent="0.25">
      <c r="A183"/>
      <c r="B183"/>
      <c r="C183"/>
      <c r="D183" s="13"/>
      <c r="E183"/>
      <c r="F183"/>
      <c r="G183"/>
      <c r="H183"/>
    </row>
    <row r="184" spans="1:8" s="10" customFormat="1" ht="14.25" customHeight="1" x14ac:dyDescent="0.25">
      <c r="A184"/>
      <c r="B184"/>
      <c r="C184"/>
      <c r="D184" s="13"/>
      <c r="E184"/>
      <c r="F184"/>
      <c r="G184"/>
      <c r="H184"/>
    </row>
    <row r="185" spans="1:8" s="10" customFormat="1" ht="14.25" customHeight="1" x14ac:dyDescent="0.25">
      <c r="A185"/>
      <c r="B185"/>
      <c r="C185"/>
      <c r="D185" s="13"/>
      <c r="E185"/>
      <c r="F185"/>
      <c r="G185"/>
      <c r="H185"/>
    </row>
    <row r="186" spans="1:8" s="10" customFormat="1" ht="14.25" customHeight="1" x14ac:dyDescent="0.25">
      <c r="A186"/>
      <c r="B186"/>
      <c r="C186"/>
      <c r="D186" s="13"/>
      <c r="E186"/>
      <c r="F186"/>
      <c r="G186"/>
      <c r="H186"/>
    </row>
    <row r="187" spans="1:8" s="10" customFormat="1" ht="14.25" customHeight="1" x14ac:dyDescent="0.25">
      <c r="A187"/>
      <c r="B187"/>
      <c r="C187"/>
      <c r="D187" s="13"/>
      <c r="E187"/>
      <c r="F187"/>
      <c r="G187"/>
      <c r="H187"/>
    </row>
    <row r="188" spans="1:8" s="10" customFormat="1" ht="14.25" customHeight="1" x14ac:dyDescent="0.25">
      <c r="A188"/>
      <c r="B188"/>
      <c r="C188"/>
      <c r="D188" s="13"/>
      <c r="E188"/>
      <c r="F188"/>
      <c r="G188"/>
      <c r="H188"/>
    </row>
    <row r="189" spans="1:8" s="10" customFormat="1" ht="14.25" customHeight="1" x14ac:dyDescent="0.25">
      <c r="A189"/>
      <c r="B189"/>
      <c r="C189"/>
      <c r="D189" s="13"/>
      <c r="E189"/>
      <c r="F189"/>
      <c r="G189"/>
      <c r="H189"/>
    </row>
    <row r="190" spans="1:8" s="10" customFormat="1" ht="14.25" customHeight="1" x14ac:dyDescent="0.25">
      <c r="A190"/>
      <c r="B190"/>
      <c r="C190"/>
      <c r="D190" s="13"/>
      <c r="E190"/>
      <c r="F190"/>
      <c r="G190"/>
      <c r="H190"/>
    </row>
    <row r="191" spans="1:8" s="10" customFormat="1" ht="14.25" customHeight="1" x14ac:dyDescent="0.25">
      <c r="A191"/>
      <c r="B191"/>
      <c r="C191"/>
      <c r="D191" s="13"/>
      <c r="E191"/>
      <c r="F191"/>
      <c r="G191"/>
      <c r="H191"/>
    </row>
    <row r="192" spans="1:8" s="10" customFormat="1" ht="14.25" customHeight="1" x14ac:dyDescent="0.25">
      <c r="A192"/>
      <c r="B192"/>
      <c r="C192"/>
      <c r="D192" s="13"/>
      <c r="E192"/>
      <c r="F192"/>
      <c r="G192"/>
      <c r="H192"/>
    </row>
    <row r="193" spans="1:8" s="10" customFormat="1" ht="14.25" customHeight="1" x14ac:dyDescent="0.25">
      <c r="A193"/>
      <c r="B193"/>
      <c r="C193"/>
      <c r="D193" s="13"/>
      <c r="E193"/>
      <c r="F193"/>
      <c r="G193"/>
      <c r="H193"/>
    </row>
    <row r="194" spans="1:8" s="10" customFormat="1" ht="14.25" customHeight="1" x14ac:dyDescent="0.25">
      <c r="A194"/>
      <c r="B194"/>
      <c r="C194"/>
      <c r="D194" s="13"/>
      <c r="E194"/>
      <c r="F194"/>
      <c r="G194"/>
      <c r="H194"/>
    </row>
    <row r="195" spans="1:8" s="10" customFormat="1" ht="14.25" customHeight="1" x14ac:dyDescent="0.25">
      <c r="A195"/>
      <c r="B195"/>
      <c r="C195"/>
      <c r="D195" s="13"/>
      <c r="E195"/>
      <c r="F195"/>
      <c r="G195"/>
      <c r="H195"/>
    </row>
    <row r="196" spans="1:8" s="10" customFormat="1" ht="14.25" customHeight="1" x14ac:dyDescent="0.25">
      <c r="A196"/>
      <c r="B196"/>
      <c r="C196"/>
      <c r="D196" s="13"/>
      <c r="E196"/>
      <c r="F196"/>
      <c r="G196"/>
      <c r="H196"/>
    </row>
    <row r="197" spans="1:8" s="10" customFormat="1" ht="14.25" customHeight="1" x14ac:dyDescent="0.25">
      <c r="A197"/>
      <c r="B197"/>
      <c r="C197"/>
      <c r="D197" s="13"/>
      <c r="E197"/>
      <c r="F197"/>
      <c r="G197"/>
      <c r="H197"/>
    </row>
    <row r="198" spans="1:8" s="10" customFormat="1" ht="14.25" customHeight="1" x14ac:dyDescent="0.25">
      <c r="A198"/>
      <c r="B198"/>
      <c r="C198"/>
      <c r="D198" s="13"/>
      <c r="E198"/>
      <c r="F198"/>
      <c r="G198"/>
      <c r="H198"/>
    </row>
    <row r="199" spans="1:8" s="10" customFormat="1" ht="14.25" customHeight="1" x14ac:dyDescent="0.25">
      <c r="A199"/>
      <c r="B199"/>
      <c r="C199"/>
      <c r="D199" s="13"/>
      <c r="E199"/>
      <c r="F199"/>
      <c r="G199"/>
      <c r="H199"/>
    </row>
    <row r="200" spans="1:8" s="10" customFormat="1" ht="14.25" customHeight="1" x14ac:dyDescent="0.25">
      <c r="A200"/>
      <c r="B200"/>
      <c r="C200"/>
      <c r="D200" s="13"/>
      <c r="E200"/>
      <c r="F200"/>
      <c r="G200"/>
      <c r="H200"/>
    </row>
    <row r="201" spans="1:8" s="10" customFormat="1" ht="14.25" customHeight="1" x14ac:dyDescent="0.25">
      <c r="A201"/>
      <c r="B201"/>
      <c r="C201"/>
      <c r="D201" s="13"/>
      <c r="E201"/>
      <c r="F201"/>
      <c r="G201"/>
      <c r="H201"/>
    </row>
    <row r="202" spans="1:8" s="10" customFormat="1" ht="14.25" customHeight="1" x14ac:dyDescent="0.25">
      <c r="A202"/>
      <c r="B202"/>
      <c r="C202"/>
      <c r="D202" s="13"/>
      <c r="E202"/>
      <c r="F202"/>
      <c r="G202"/>
      <c r="H202"/>
    </row>
    <row r="203" spans="1:8" s="10" customFormat="1" ht="14.25" customHeight="1" x14ac:dyDescent="0.25">
      <c r="A203"/>
      <c r="B203"/>
      <c r="C203"/>
      <c r="D203" s="13"/>
      <c r="E203"/>
      <c r="F203"/>
      <c r="G203"/>
      <c r="H203"/>
    </row>
    <row r="204" spans="1:8" s="10" customFormat="1" ht="14.25" customHeight="1" x14ac:dyDescent="0.25">
      <c r="A204"/>
      <c r="B204"/>
      <c r="C204"/>
      <c r="D204" s="13"/>
      <c r="E204"/>
      <c r="F204"/>
      <c r="G204"/>
      <c r="H204"/>
    </row>
    <row r="205" spans="1:8" s="10" customFormat="1" ht="14.25" customHeight="1" x14ac:dyDescent="0.25">
      <c r="A205"/>
      <c r="B205"/>
      <c r="C205"/>
      <c r="D205" s="13"/>
      <c r="E205"/>
      <c r="F205"/>
      <c r="G205"/>
      <c r="H205"/>
    </row>
    <row r="206" spans="1:8" s="10" customFormat="1" ht="14.25" customHeight="1" x14ac:dyDescent="0.25">
      <c r="A206"/>
      <c r="B206"/>
      <c r="C206"/>
      <c r="D206" s="13"/>
      <c r="E206"/>
      <c r="F206"/>
      <c r="G206"/>
      <c r="H206"/>
    </row>
    <row r="207" spans="1:8" s="10" customFormat="1" ht="14.25" customHeight="1" x14ac:dyDescent="0.25">
      <c r="A207"/>
      <c r="B207"/>
      <c r="C207"/>
      <c r="D207" s="13"/>
      <c r="E207"/>
      <c r="F207"/>
      <c r="G207"/>
      <c r="H207"/>
    </row>
    <row r="208" spans="1:8" s="10" customFormat="1" ht="14.25" customHeight="1" x14ac:dyDescent="0.25">
      <c r="A208"/>
      <c r="B208"/>
      <c r="C208"/>
      <c r="D208" s="13"/>
      <c r="E208"/>
      <c r="F208"/>
      <c r="G208"/>
      <c r="H208"/>
    </row>
    <row r="209" spans="1:8" s="10" customFormat="1" ht="14.25" customHeight="1" x14ac:dyDescent="0.25">
      <c r="A209"/>
      <c r="B209"/>
      <c r="C209"/>
      <c r="D209" s="13"/>
      <c r="E209"/>
      <c r="F209"/>
      <c r="G209"/>
      <c r="H209"/>
    </row>
    <row r="210" spans="1:8" s="10" customFormat="1" ht="14.25" customHeight="1" x14ac:dyDescent="0.25">
      <c r="A210"/>
      <c r="B210"/>
      <c r="C210"/>
      <c r="D210" s="13"/>
      <c r="E210"/>
      <c r="F210"/>
      <c r="G210"/>
      <c r="H210"/>
    </row>
    <row r="211" spans="1:8" s="10" customFormat="1" ht="14.25" customHeight="1" x14ac:dyDescent="0.25">
      <c r="A211"/>
      <c r="B211"/>
      <c r="C211"/>
      <c r="D211" s="13"/>
      <c r="E211"/>
      <c r="F211"/>
      <c r="G211"/>
      <c r="H211"/>
    </row>
    <row r="212" spans="1:8" s="10" customFormat="1" ht="14.25" customHeight="1" x14ac:dyDescent="0.25">
      <c r="A212"/>
      <c r="B212"/>
      <c r="C212"/>
      <c r="D212" s="13"/>
      <c r="E212"/>
      <c r="F212"/>
      <c r="G212"/>
      <c r="H212"/>
    </row>
    <row r="213" spans="1:8" s="10" customFormat="1" ht="14.25" customHeight="1" x14ac:dyDescent="0.25">
      <c r="A213"/>
      <c r="B213"/>
      <c r="C213"/>
      <c r="D213" s="13"/>
      <c r="E213"/>
      <c r="F213"/>
      <c r="G213"/>
      <c r="H213"/>
    </row>
    <row r="214" spans="1:8" s="10" customFormat="1" ht="14.25" customHeight="1" x14ac:dyDescent="0.25">
      <c r="A214"/>
      <c r="B214"/>
      <c r="C214"/>
      <c r="D214" s="13"/>
      <c r="E214"/>
      <c r="F214"/>
      <c r="G214"/>
      <c r="H214"/>
    </row>
    <row r="215" spans="1:8" s="10" customFormat="1" ht="14.25" customHeight="1" x14ac:dyDescent="0.25">
      <c r="A215"/>
      <c r="B215"/>
      <c r="C215"/>
      <c r="D215" s="13"/>
      <c r="E215"/>
      <c r="F215"/>
      <c r="G215"/>
      <c r="H215"/>
    </row>
    <row r="216" spans="1:8" s="10" customFormat="1" ht="14.25" customHeight="1" x14ac:dyDescent="0.25">
      <c r="A216"/>
      <c r="B216"/>
      <c r="C216"/>
      <c r="D216" s="13"/>
      <c r="E216"/>
      <c r="F216"/>
      <c r="G216"/>
      <c r="H216"/>
    </row>
    <row r="217" spans="1:8" s="10" customFormat="1" ht="14.25" customHeight="1" x14ac:dyDescent="0.25">
      <c r="A217"/>
      <c r="B217"/>
      <c r="C217"/>
      <c r="D217" s="13"/>
      <c r="E217"/>
      <c r="F217"/>
      <c r="G217"/>
      <c r="H217"/>
    </row>
    <row r="218" spans="1:8" s="10" customFormat="1" ht="14.25" customHeight="1" x14ac:dyDescent="0.25">
      <c r="A218"/>
      <c r="B218"/>
      <c r="C218"/>
      <c r="D218" s="13"/>
      <c r="E218"/>
      <c r="F218"/>
      <c r="G218"/>
      <c r="H218"/>
    </row>
    <row r="219" spans="1:8" s="10" customFormat="1" ht="14.25" customHeight="1" x14ac:dyDescent="0.25">
      <c r="A219"/>
      <c r="B219"/>
      <c r="C219"/>
      <c r="D219" s="13"/>
      <c r="E219"/>
      <c r="F219"/>
      <c r="G219"/>
      <c r="H219"/>
    </row>
    <row r="220" spans="1:8" s="10" customFormat="1" ht="14.25" customHeight="1" x14ac:dyDescent="0.25">
      <c r="A220"/>
      <c r="B220"/>
      <c r="C220"/>
      <c r="D220" s="13"/>
      <c r="E220"/>
      <c r="F220"/>
      <c r="G220"/>
      <c r="H220"/>
    </row>
    <row r="221" spans="1:8" s="10" customFormat="1" ht="14.25" customHeight="1" x14ac:dyDescent="0.25">
      <c r="A221"/>
      <c r="B221"/>
      <c r="C221"/>
      <c r="D221" s="13"/>
      <c r="E221"/>
      <c r="F221"/>
      <c r="G221"/>
      <c r="H221"/>
    </row>
    <row r="222" spans="1:8" s="10" customFormat="1" ht="14.25" customHeight="1" x14ac:dyDescent="0.25">
      <c r="A222"/>
      <c r="B222"/>
      <c r="C222"/>
      <c r="D222" s="13"/>
      <c r="E222"/>
      <c r="F222"/>
      <c r="G222"/>
      <c r="H222"/>
    </row>
    <row r="223" spans="1:8" s="10" customFormat="1" ht="14.25" customHeight="1" x14ac:dyDescent="0.25">
      <c r="A223"/>
      <c r="B223"/>
      <c r="C223"/>
      <c r="D223" s="13"/>
      <c r="E223"/>
      <c r="F223"/>
      <c r="G223"/>
      <c r="H223"/>
    </row>
    <row r="224" spans="1:8" s="10" customFormat="1" ht="14.25" customHeight="1" x14ac:dyDescent="0.25">
      <c r="A224"/>
      <c r="B224"/>
      <c r="C224"/>
      <c r="D224" s="13"/>
      <c r="E224"/>
      <c r="F224"/>
      <c r="G224"/>
      <c r="H224"/>
    </row>
    <row r="225" spans="1:8" s="10" customFormat="1" ht="14.25" customHeight="1" x14ac:dyDescent="0.25">
      <c r="A225"/>
      <c r="B225"/>
      <c r="C225"/>
      <c r="D225" s="13"/>
      <c r="E225"/>
      <c r="F225"/>
      <c r="G225"/>
      <c r="H225"/>
    </row>
    <row r="226" spans="1:8" s="10" customFormat="1" ht="14.25" customHeight="1" x14ac:dyDescent="0.25">
      <c r="A226"/>
      <c r="B226"/>
      <c r="C226"/>
      <c r="D226" s="13"/>
      <c r="E226"/>
      <c r="F226"/>
      <c r="G226"/>
      <c r="H226"/>
    </row>
    <row r="227" spans="1:8" s="10" customFormat="1" ht="14.25" customHeight="1" x14ac:dyDescent="0.25">
      <c r="A227"/>
      <c r="B227"/>
      <c r="C227"/>
      <c r="D227" s="13"/>
      <c r="E227"/>
      <c r="F227"/>
      <c r="G227"/>
      <c r="H227"/>
    </row>
    <row r="228" spans="1:8" s="10" customFormat="1" ht="14.25" customHeight="1" x14ac:dyDescent="0.25">
      <c r="A228"/>
      <c r="B228"/>
      <c r="C228"/>
      <c r="D228" s="13"/>
      <c r="E228"/>
      <c r="F228"/>
      <c r="G228"/>
      <c r="H228"/>
    </row>
    <row r="229" spans="1:8" s="10" customFormat="1" ht="14.25" customHeight="1" x14ac:dyDescent="0.25">
      <c r="A229"/>
      <c r="B229"/>
      <c r="C229"/>
      <c r="D229" s="13"/>
      <c r="E229"/>
      <c r="F229"/>
      <c r="G229"/>
      <c r="H229"/>
    </row>
    <row r="230" spans="1:8" s="10" customFormat="1" ht="14.25" customHeight="1" x14ac:dyDescent="0.25">
      <c r="A230"/>
      <c r="B230"/>
      <c r="C230"/>
      <c r="D230" s="13"/>
      <c r="E230"/>
      <c r="F230"/>
      <c r="G230"/>
      <c r="H230"/>
    </row>
    <row r="231" spans="1:8" s="10" customFormat="1" ht="14.25" customHeight="1" x14ac:dyDescent="0.25">
      <c r="A231"/>
      <c r="B231"/>
      <c r="C231"/>
      <c r="D231" s="13"/>
      <c r="E231"/>
      <c r="F231"/>
      <c r="G231"/>
      <c r="H231"/>
    </row>
    <row r="232" spans="1:8" s="10" customFormat="1" ht="14.25" customHeight="1" x14ac:dyDescent="0.25">
      <c r="A232"/>
      <c r="B232"/>
      <c r="C232"/>
      <c r="D232" s="13"/>
      <c r="E232"/>
      <c r="F232"/>
      <c r="G232"/>
      <c r="H232"/>
    </row>
    <row r="233" spans="1:8" s="10" customFormat="1" ht="14.25" customHeight="1" x14ac:dyDescent="0.25">
      <c r="A233"/>
      <c r="B233"/>
      <c r="C233"/>
      <c r="D233" s="13"/>
      <c r="E233"/>
      <c r="F233"/>
      <c r="G233"/>
      <c r="H233"/>
    </row>
    <row r="234" spans="1:8" s="10" customFormat="1" ht="14.25" customHeight="1" x14ac:dyDescent="0.25">
      <c r="A234"/>
      <c r="B234"/>
      <c r="C234"/>
      <c r="D234" s="13"/>
      <c r="E234"/>
      <c r="F234"/>
      <c r="G234"/>
      <c r="H234"/>
    </row>
    <row r="235" spans="1:8" s="10" customFormat="1" ht="14.25" customHeight="1" x14ac:dyDescent="0.25">
      <c r="A235"/>
      <c r="B235"/>
      <c r="C235"/>
      <c r="D235" s="13"/>
      <c r="E235"/>
      <c r="F235"/>
      <c r="G235"/>
      <c r="H235"/>
    </row>
    <row r="236" spans="1:8" s="10" customFormat="1" ht="14.25" customHeight="1" x14ac:dyDescent="0.25">
      <c r="A236"/>
      <c r="B236"/>
      <c r="C236"/>
      <c r="D236" s="13"/>
      <c r="E236"/>
      <c r="F236"/>
      <c r="G236"/>
      <c r="H236"/>
    </row>
    <row r="237" spans="1:8" s="10" customFormat="1" ht="14.25" customHeight="1" x14ac:dyDescent="0.25">
      <c r="A237"/>
      <c r="B237"/>
      <c r="C237"/>
      <c r="D237" s="13"/>
      <c r="E237"/>
      <c r="F237"/>
      <c r="G237"/>
      <c r="H237"/>
    </row>
    <row r="238" spans="1:8" s="10" customFormat="1" ht="14.25" customHeight="1" x14ac:dyDescent="0.25">
      <c r="A238"/>
      <c r="B238"/>
      <c r="C238"/>
      <c r="D238" s="13"/>
      <c r="E238"/>
      <c r="F238"/>
      <c r="G238"/>
      <c r="H238"/>
    </row>
    <row r="239" spans="1:8" s="10" customFormat="1" ht="14.25" customHeight="1" x14ac:dyDescent="0.25">
      <c r="A239"/>
      <c r="B239"/>
      <c r="C239"/>
      <c r="D239" s="13"/>
      <c r="E239"/>
      <c r="F239"/>
      <c r="G239"/>
      <c r="H239"/>
    </row>
    <row r="240" spans="1:8" s="10" customFormat="1" ht="14.25" customHeight="1" x14ac:dyDescent="0.25">
      <c r="A240"/>
      <c r="B240"/>
      <c r="C240"/>
      <c r="D240" s="13"/>
      <c r="E240"/>
      <c r="F240"/>
      <c r="G240"/>
      <c r="H240"/>
    </row>
    <row r="241" spans="1:8" s="10" customFormat="1" ht="14.25" customHeight="1" x14ac:dyDescent="0.25">
      <c r="A241"/>
      <c r="B241"/>
      <c r="C241"/>
      <c r="D241" s="13"/>
      <c r="E241"/>
      <c r="F241"/>
      <c r="G241"/>
      <c r="H241"/>
    </row>
    <row r="242" spans="1:8" s="10" customFormat="1" ht="14.25" customHeight="1" x14ac:dyDescent="0.25">
      <c r="A242"/>
      <c r="B242"/>
      <c r="C242"/>
      <c r="D242" s="13"/>
      <c r="E242"/>
      <c r="F242"/>
      <c r="G242"/>
      <c r="H242"/>
    </row>
    <row r="243" spans="1:8" s="10" customFormat="1" ht="14.25" customHeight="1" x14ac:dyDescent="0.25">
      <c r="A243"/>
      <c r="B243"/>
      <c r="C243"/>
      <c r="D243" s="13"/>
      <c r="E243"/>
      <c r="F243"/>
      <c r="G243"/>
      <c r="H243"/>
    </row>
    <row r="244" spans="1:8" s="10" customFormat="1" ht="14.25" customHeight="1" x14ac:dyDescent="0.25">
      <c r="A244"/>
      <c r="B244"/>
      <c r="C244"/>
      <c r="D244" s="13"/>
      <c r="E244"/>
      <c r="F244"/>
      <c r="G244"/>
      <c r="H244"/>
    </row>
    <row r="245" spans="1:8" s="10" customFormat="1" ht="14.25" customHeight="1" x14ac:dyDescent="0.25">
      <c r="A245"/>
      <c r="B245"/>
      <c r="C245"/>
      <c r="D245" s="13"/>
      <c r="E245"/>
      <c r="F245"/>
      <c r="G245"/>
      <c r="H245"/>
    </row>
    <row r="246" spans="1:8" s="10" customFormat="1" ht="14.25" customHeight="1" x14ac:dyDescent="0.25">
      <c r="A246"/>
      <c r="B246"/>
      <c r="C246"/>
      <c r="D246" s="13"/>
      <c r="E246"/>
      <c r="F246"/>
      <c r="G246"/>
      <c r="H246"/>
    </row>
    <row r="247" spans="1:8" s="10" customFormat="1" ht="14.25" customHeight="1" x14ac:dyDescent="0.25">
      <c r="A247"/>
      <c r="B247"/>
      <c r="C247"/>
      <c r="D247" s="13"/>
      <c r="E247"/>
      <c r="F247"/>
      <c r="G247"/>
      <c r="H247"/>
    </row>
    <row r="248" spans="1:8" s="10" customFormat="1" ht="14.25" customHeight="1" x14ac:dyDescent="0.25">
      <c r="A248"/>
      <c r="B248"/>
      <c r="C248"/>
      <c r="D248" s="13"/>
      <c r="E248"/>
      <c r="F248"/>
      <c r="G248"/>
      <c r="H248"/>
    </row>
    <row r="249" spans="1:8" s="10" customFormat="1" ht="14.25" customHeight="1" x14ac:dyDescent="0.25">
      <c r="A249"/>
      <c r="B249"/>
      <c r="C249"/>
      <c r="D249" s="13"/>
      <c r="E249"/>
      <c r="F249"/>
      <c r="G249"/>
      <c r="H249"/>
    </row>
    <row r="250" spans="1:8" s="10" customFormat="1" ht="14.25" customHeight="1" x14ac:dyDescent="0.25">
      <c r="A250"/>
      <c r="B250"/>
      <c r="C250"/>
      <c r="D250" s="13"/>
      <c r="E250"/>
      <c r="F250"/>
      <c r="G250"/>
      <c r="H250"/>
    </row>
    <row r="251" spans="1:8" s="10" customFormat="1" ht="14.25" customHeight="1" x14ac:dyDescent="0.25">
      <c r="A251"/>
      <c r="B251"/>
      <c r="C251"/>
      <c r="D251" s="13"/>
      <c r="E251"/>
      <c r="F251"/>
      <c r="G251"/>
      <c r="H251"/>
    </row>
    <row r="252" spans="1:8" s="10" customFormat="1" ht="14.25" customHeight="1" x14ac:dyDescent="0.25">
      <c r="A252"/>
      <c r="B252"/>
      <c r="C252"/>
      <c r="D252" s="13"/>
      <c r="E252"/>
      <c r="F252"/>
      <c r="G252"/>
      <c r="H252"/>
    </row>
    <row r="253" spans="1:8" s="10" customFormat="1" ht="14.25" customHeight="1" x14ac:dyDescent="0.25">
      <c r="A253"/>
      <c r="B253"/>
      <c r="C253"/>
      <c r="D253" s="13"/>
      <c r="E253"/>
      <c r="F253"/>
      <c r="G253"/>
      <c r="H253"/>
    </row>
    <row r="254" spans="1:8" s="10" customFormat="1" ht="14.25" customHeight="1" x14ac:dyDescent="0.25">
      <c r="A254"/>
      <c r="B254"/>
      <c r="C254"/>
      <c r="D254" s="13"/>
      <c r="E254"/>
      <c r="F254"/>
      <c r="G254"/>
      <c r="H254"/>
    </row>
    <row r="255" spans="1:8" s="10" customFormat="1" ht="14.25" customHeight="1" x14ac:dyDescent="0.25">
      <c r="A255"/>
      <c r="B255"/>
      <c r="C255"/>
      <c r="D255" s="13"/>
      <c r="E255"/>
      <c r="F255"/>
      <c r="G255"/>
      <c r="H255"/>
    </row>
    <row r="256" spans="1:8" s="10" customFormat="1" ht="14.25" customHeight="1" x14ac:dyDescent="0.25">
      <c r="A256"/>
      <c r="B256"/>
      <c r="C256"/>
      <c r="D256" s="13"/>
      <c r="E256"/>
      <c r="F256"/>
      <c r="G256"/>
      <c r="H256"/>
    </row>
    <row r="257" spans="1:8" s="10" customFormat="1" ht="14.25" customHeight="1" x14ac:dyDescent="0.25">
      <c r="A257"/>
      <c r="B257"/>
      <c r="C257"/>
      <c r="D257" s="13"/>
      <c r="E257"/>
      <c r="F257"/>
      <c r="G257"/>
      <c r="H257"/>
    </row>
    <row r="258" spans="1:8" s="10" customFormat="1" ht="14.25" customHeight="1" x14ac:dyDescent="0.25">
      <c r="A258"/>
      <c r="B258"/>
      <c r="C258"/>
      <c r="D258" s="13"/>
      <c r="E258"/>
      <c r="F258"/>
      <c r="G258"/>
      <c r="H258"/>
    </row>
    <row r="259" spans="1:8" s="10" customFormat="1" ht="14.25" customHeight="1" x14ac:dyDescent="0.25">
      <c r="A259"/>
      <c r="B259"/>
      <c r="C259"/>
      <c r="D259" s="13"/>
      <c r="E259"/>
      <c r="F259"/>
      <c r="G259"/>
      <c r="H259"/>
    </row>
    <row r="260" spans="1:8" s="10" customFormat="1" ht="14.25" customHeight="1" x14ac:dyDescent="0.25">
      <c r="A260"/>
      <c r="B260"/>
      <c r="C260"/>
      <c r="D260" s="13"/>
      <c r="E260"/>
      <c r="F260"/>
      <c r="G260"/>
      <c r="H260"/>
    </row>
    <row r="261" spans="1:8" s="10" customFormat="1" ht="14.25" customHeight="1" x14ac:dyDescent="0.25">
      <c r="A261"/>
      <c r="B261"/>
      <c r="C261"/>
      <c r="D261" s="13"/>
      <c r="E261"/>
      <c r="F261"/>
      <c r="G261"/>
      <c r="H261"/>
    </row>
    <row r="262" spans="1:8" s="10" customFormat="1" ht="14.25" customHeight="1" x14ac:dyDescent="0.25">
      <c r="A262"/>
      <c r="B262"/>
      <c r="C262"/>
      <c r="D262" s="13"/>
      <c r="E262"/>
      <c r="F262"/>
      <c r="G262"/>
      <c r="H262"/>
    </row>
    <row r="263" spans="1:8" s="10" customFormat="1" ht="14.25" customHeight="1" x14ac:dyDescent="0.25">
      <c r="A263"/>
      <c r="B263"/>
      <c r="C263"/>
      <c r="D263" s="13"/>
      <c r="E263"/>
      <c r="F263"/>
      <c r="G263"/>
      <c r="H263"/>
    </row>
    <row r="264" spans="1:8" s="10" customFormat="1" ht="14.25" customHeight="1" x14ac:dyDescent="0.25">
      <c r="A264"/>
      <c r="B264"/>
      <c r="C264"/>
      <c r="D264" s="13"/>
      <c r="E264"/>
      <c r="F264"/>
      <c r="G264"/>
      <c r="H264"/>
    </row>
    <row r="265" spans="1:8" s="10" customFormat="1" ht="14.25" customHeight="1" x14ac:dyDescent="0.25">
      <c r="A265"/>
      <c r="B265"/>
      <c r="C265"/>
      <c r="D265" s="13"/>
      <c r="E265"/>
      <c r="F265"/>
      <c r="G265"/>
      <c r="H265"/>
    </row>
    <row r="266" spans="1:8" s="10" customFormat="1" ht="14.25" customHeight="1" x14ac:dyDescent="0.25">
      <c r="A266"/>
      <c r="B266"/>
      <c r="C266"/>
      <c r="D266" s="13"/>
      <c r="E266"/>
      <c r="F266"/>
      <c r="G266"/>
      <c r="H266"/>
    </row>
    <row r="267" spans="1:8" s="10" customFormat="1" ht="14.25" customHeight="1" x14ac:dyDescent="0.25">
      <c r="A267"/>
      <c r="B267"/>
      <c r="C267"/>
      <c r="D267" s="13"/>
      <c r="E267"/>
      <c r="F267"/>
      <c r="G267"/>
      <c r="H267"/>
    </row>
    <row r="268" spans="1:8" s="10" customFormat="1" ht="14.25" customHeight="1" x14ac:dyDescent="0.25">
      <c r="A268"/>
      <c r="B268"/>
      <c r="C268"/>
      <c r="D268" s="13"/>
      <c r="E268"/>
      <c r="F268"/>
      <c r="G268"/>
      <c r="H268"/>
    </row>
    <row r="269" spans="1:8" s="10" customFormat="1" ht="14.25" customHeight="1" x14ac:dyDescent="0.25">
      <c r="A269"/>
      <c r="B269"/>
      <c r="C269"/>
      <c r="D269" s="13"/>
      <c r="E269"/>
      <c r="F269"/>
      <c r="G269"/>
      <c r="H269"/>
    </row>
    <row r="270" spans="1:8" s="10" customFormat="1" ht="14.25" customHeight="1" x14ac:dyDescent="0.25">
      <c r="A270"/>
      <c r="B270"/>
      <c r="C270"/>
      <c r="D270" s="13"/>
      <c r="E270"/>
      <c r="F270"/>
      <c r="G270"/>
      <c r="H270"/>
    </row>
    <row r="271" spans="1:8" s="10" customFormat="1" ht="14.25" customHeight="1" x14ac:dyDescent="0.25">
      <c r="A271"/>
      <c r="B271"/>
      <c r="C271"/>
      <c r="D271" s="13"/>
      <c r="E271"/>
      <c r="F271"/>
      <c r="G271"/>
      <c r="H271"/>
    </row>
    <row r="272" spans="1:8" s="10" customFormat="1" ht="14.25" customHeight="1" x14ac:dyDescent="0.25">
      <c r="A272"/>
      <c r="B272"/>
      <c r="C272"/>
      <c r="D272" s="13"/>
      <c r="E272"/>
      <c r="F272"/>
      <c r="G272"/>
      <c r="H272"/>
    </row>
    <row r="273" spans="1:8" s="10" customFormat="1" ht="14.25" customHeight="1" x14ac:dyDescent="0.25">
      <c r="A273"/>
      <c r="B273"/>
      <c r="C273"/>
      <c r="D273" s="13"/>
      <c r="E273"/>
      <c r="F273"/>
      <c r="G273"/>
      <c r="H273"/>
    </row>
    <row r="274" spans="1:8" s="10" customFormat="1" ht="14.25" customHeight="1" x14ac:dyDescent="0.25">
      <c r="A274"/>
      <c r="B274"/>
      <c r="C274"/>
      <c r="D274" s="13"/>
      <c r="E274"/>
      <c r="F274"/>
      <c r="G274"/>
      <c r="H274"/>
    </row>
    <row r="275" spans="1:8" s="10" customFormat="1" ht="14.25" customHeight="1" x14ac:dyDescent="0.25">
      <c r="A275"/>
      <c r="B275"/>
      <c r="C275"/>
      <c r="D275" s="13"/>
      <c r="E275"/>
      <c r="F275"/>
      <c r="G275"/>
      <c r="H275"/>
    </row>
    <row r="276" spans="1:8" s="10" customFormat="1" ht="14.25" customHeight="1" x14ac:dyDescent="0.25">
      <c r="A276"/>
      <c r="B276"/>
      <c r="C276"/>
      <c r="D276" s="13"/>
      <c r="E276"/>
      <c r="F276"/>
      <c r="G276"/>
      <c r="H276"/>
    </row>
    <row r="277" spans="1:8" s="10" customFormat="1" ht="14.25" customHeight="1" x14ac:dyDescent="0.25">
      <c r="A277"/>
      <c r="B277"/>
      <c r="C277"/>
      <c r="D277" s="13"/>
      <c r="E277"/>
      <c r="F277"/>
      <c r="G277"/>
      <c r="H277"/>
    </row>
    <row r="278" spans="1:8" s="10" customFormat="1" ht="14.25" customHeight="1" x14ac:dyDescent="0.25">
      <c r="A278"/>
      <c r="B278"/>
      <c r="C278"/>
      <c r="D278" s="13"/>
      <c r="E278"/>
      <c r="F278"/>
      <c r="G278"/>
      <c r="H278"/>
    </row>
    <row r="279" spans="1:8" s="10" customFormat="1" ht="14.25" customHeight="1" x14ac:dyDescent="0.25">
      <c r="A279"/>
      <c r="B279"/>
      <c r="C279"/>
      <c r="D279" s="13"/>
      <c r="E279"/>
      <c r="F279"/>
      <c r="G279"/>
      <c r="H279"/>
    </row>
    <row r="280" spans="1:8" s="10" customFormat="1" ht="14.25" customHeight="1" x14ac:dyDescent="0.25">
      <c r="A280"/>
      <c r="B280"/>
      <c r="C280"/>
      <c r="D280" s="13"/>
      <c r="E280"/>
      <c r="F280"/>
      <c r="G280"/>
      <c r="H280"/>
    </row>
    <row r="281" spans="1:8" s="10" customFormat="1" ht="14.25" customHeight="1" x14ac:dyDescent="0.25">
      <c r="A281"/>
      <c r="B281"/>
      <c r="C281"/>
      <c r="D281" s="13"/>
      <c r="E281"/>
      <c r="F281"/>
      <c r="G281"/>
      <c r="H281"/>
    </row>
    <row r="282" spans="1:8" s="10" customFormat="1" ht="14.25" customHeight="1" x14ac:dyDescent="0.25">
      <c r="A282"/>
      <c r="B282"/>
      <c r="C282"/>
      <c r="D282" s="13"/>
      <c r="E282"/>
      <c r="F282"/>
      <c r="G282"/>
      <c r="H282"/>
    </row>
    <row r="283" spans="1:8" s="10" customFormat="1" ht="14.25" customHeight="1" x14ac:dyDescent="0.25">
      <c r="A283"/>
      <c r="B283"/>
      <c r="C283"/>
      <c r="D283" s="13"/>
      <c r="E283"/>
      <c r="F283"/>
      <c r="G283"/>
      <c r="H283"/>
    </row>
    <row r="284" spans="1:8" s="10" customFormat="1" ht="14.25" customHeight="1" x14ac:dyDescent="0.25">
      <c r="A284"/>
      <c r="B284"/>
      <c r="C284"/>
      <c r="D284" s="13"/>
      <c r="E284"/>
      <c r="F284"/>
      <c r="G284"/>
      <c r="H284"/>
    </row>
    <row r="285" spans="1:8" s="10" customFormat="1" ht="14.25" customHeight="1" x14ac:dyDescent="0.25">
      <c r="A285"/>
      <c r="B285"/>
      <c r="C285"/>
      <c r="D285" s="13"/>
      <c r="E285"/>
      <c r="F285"/>
      <c r="G285"/>
      <c r="H285"/>
    </row>
    <row r="286" spans="1:8" s="10" customFormat="1" ht="14.25" customHeight="1" x14ac:dyDescent="0.25">
      <c r="A286"/>
      <c r="B286"/>
      <c r="C286"/>
      <c r="D286" s="13"/>
      <c r="E286"/>
      <c r="F286"/>
      <c r="G286"/>
      <c r="H286"/>
    </row>
    <row r="287" spans="1:8" s="10" customFormat="1" ht="14.25" customHeight="1" x14ac:dyDescent="0.25">
      <c r="A287"/>
      <c r="B287"/>
      <c r="C287"/>
      <c r="D287" s="13"/>
      <c r="E287"/>
      <c r="F287"/>
      <c r="G287"/>
      <c r="H287"/>
    </row>
    <row r="288" spans="1:8" s="10" customFormat="1" ht="14.25" customHeight="1" x14ac:dyDescent="0.25">
      <c r="A288"/>
      <c r="B288"/>
      <c r="C288"/>
      <c r="D288" s="13"/>
      <c r="E288"/>
      <c r="F288"/>
      <c r="G288"/>
      <c r="H288"/>
    </row>
    <row r="289" spans="1:8" s="10" customFormat="1" ht="14.25" customHeight="1" x14ac:dyDescent="0.25">
      <c r="A289"/>
      <c r="B289"/>
      <c r="C289"/>
      <c r="D289" s="13"/>
      <c r="E289"/>
      <c r="F289"/>
      <c r="G289"/>
      <c r="H289"/>
    </row>
    <row r="290" spans="1:8" s="10" customFormat="1" ht="14.25" customHeight="1" x14ac:dyDescent="0.25">
      <c r="A290"/>
      <c r="B290"/>
      <c r="C290"/>
      <c r="D290" s="13"/>
      <c r="E290"/>
      <c r="F290"/>
      <c r="G290"/>
      <c r="H290"/>
    </row>
    <row r="291" spans="1:8" s="10" customFormat="1" ht="14.25" customHeight="1" x14ac:dyDescent="0.25">
      <c r="A291"/>
      <c r="B291"/>
      <c r="C291"/>
      <c r="D291" s="13"/>
      <c r="E291"/>
      <c r="F291"/>
      <c r="G291"/>
      <c r="H291"/>
    </row>
    <row r="292" spans="1:8" s="10" customFormat="1" ht="14.25" customHeight="1" x14ac:dyDescent="0.25">
      <c r="A292"/>
      <c r="B292"/>
      <c r="C292"/>
      <c r="D292" s="13"/>
      <c r="E292"/>
      <c r="F292"/>
      <c r="G292"/>
      <c r="H292"/>
    </row>
    <row r="293" spans="1:8" s="10" customFormat="1" ht="14.25" customHeight="1" x14ac:dyDescent="0.25">
      <c r="A293"/>
      <c r="B293"/>
      <c r="C293"/>
      <c r="D293" s="13"/>
      <c r="E293"/>
      <c r="F293"/>
      <c r="G293"/>
      <c r="H293"/>
    </row>
    <row r="294" spans="1:8" s="10" customFormat="1" ht="14.25" customHeight="1" x14ac:dyDescent="0.25">
      <c r="A294"/>
      <c r="B294"/>
      <c r="C294"/>
      <c r="D294" s="13"/>
      <c r="E294"/>
      <c r="F294"/>
      <c r="G294"/>
      <c r="H294"/>
    </row>
    <row r="295" spans="1:8" s="10" customFormat="1" ht="14.25" customHeight="1" x14ac:dyDescent="0.25">
      <c r="A295"/>
      <c r="B295"/>
      <c r="C295"/>
      <c r="D295" s="13"/>
      <c r="E295"/>
      <c r="F295"/>
      <c r="G295"/>
      <c r="H295"/>
    </row>
    <row r="296" spans="1:8" s="10" customFormat="1" ht="14.25" customHeight="1" x14ac:dyDescent="0.25">
      <c r="A296"/>
      <c r="B296"/>
      <c r="C296"/>
      <c r="D296" s="13"/>
      <c r="E296"/>
      <c r="F296"/>
      <c r="G296"/>
      <c r="H296"/>
    </row>
    <row r="297" spans="1:8" s="10" customFormat="1" ht="14.25" customHeight="1" x14ac:dyDescent="0.25">
      <c r="A297"/>
      <c r="B297"/>
      <c r="C297"/>
      <c r="D297" s="13"/>
      <c r="E297"/>
      <c r="F297"/>
      <c r="G297"/>
      <c r="H297"/>
    </row>
    <row r="298" spans="1:8" s="10" customFormat="1" ht="14.25" customHeight="1" x14ac:dyDescent="0.25">
      <c r="A298"/>
      <c r="B298"/>
      <c r="C298"/>
      <c r="D298" s="13"/>
      <c r="E298"/>
      <c r="F298"/>
      <c r="G298"/>
      <c r="H298"/>
    </row>
    <row r="299" spans="1:8" s="10" customFormat="1" ht="14.25" customHeight="1" x14ac:dyDescent="0.25">
      <c r="A299"/>
      <c r="B299"/>
      <c r="C299"/>
      <c r="D299" s="13"/>
      <c r="E299"/>
      <c r="F299"/>
      <c r="G299"/>
      <c r="H299"/>
    </row>
    <row r="300" spans="1:8" s="10" customFormat="1" ht="14.25" customHeight="1" x14ac:dyDescent="0.25">
      <c r="A300"/>
      <c r="B300"/>
      <c r="C300"/>
      <c r="D300" s="13"/>
      <c r="E300"/>
      <c r="F300"/>
      <c r="G300"/>
      <c r="H300"/>
    </row>
    <row r="301" spans="1:8" s="10" customFormat="1" ht="14.25" customHeight="1" x14ac:dyDescent="0.25">
      <c r="A301"/>
      <c r="B301"/>
      <c r="C301"/>
      <c r="D301" s="13"/>
      <c r="E301"/>
      <c r="F301"/>
      <c r="G301"/>
      <c r="H301"/>
    </row>
    <row r="302" spans="1:8" s="10" customFormat="1" ht="14.25" customHeight="1" x14ac:dyDescent="0.25">
      <c r="A302"/>
      <c r="B302"/>
      <c r="C302"/>
      <c r="D302" s="13"/>
      <c r="E302"/>
      <c r="F302"/>
      <c r="G302"/>
      <c r="H302"/>
    </row>
    <row r="303" spans="1:8" s="10" customFormat="1" ht="14.25" customHeight="1" x14ac:dyDescent="0.25">
      <c r="A303"/>
      <c r="B303"/>
      <c r="C303"/>
      <c r="D303" s="13"/>
      <c r="E303"/>
      <c r="F303"/>
      <c r="G303"/>
      <c r="H303"/>
    </row>
    <row r="304" spans="1:8" s="10" customFormat="1" ht="14.25" customHeight="1" x14ac:dyDescent="0.25">
      <c r="A304"/>
      <c r="B304"/>
      <c r="C304"/>
      <c r="D304" s="13"/>
      <c r="E304"/>
      <c r="F304"/>
      <c r="G304"/>
      <c r="H304"/>
    </row>
    <row r="305" spans="1:8" s="10" customFormat="1" ht="14.25" customHeight="1" x14ac:dyDescent="0.25">
      <c r="A305"/>
      <c r="B305"/>
      <c r="C305"/>
      <c r="D305" s="13"/>
      <c r="E305"/>
      <c r="F305"/>
      <c r="G305"/>
      <c r="H305"/>
    </row>
    <row r="306" spans="1:8" s="10" customFormat="1" ht="14.25" customHeight="1" x14ac:dyDescent="0.25">
      <c r="A306"/>
      <c r="B306"/>
      <c r="C306"/>
      <c r="D306" s="13"/>
      <c r="E306"/>
      <c r="F306"/>
      <c r="G306"/>
      <c r="H306"/>
    </row>
    <row r="307" spans="1:8" s="10" customFormat="1" ht="14.25" customHeight="1" x14ac:dyDescent="0.25">
      <c r="A307"/>
      <c r="B307"/>
      <c r="C307"/>
      <c r="D307" s="13"/>
      <c r="E307"/>
      <c r="F307"/>
      <c r="G307"/>
      <c r="H307"/>
    </row>
    <row r="308" spans="1:8" s="10" customFormat="1" ht="14.25" customHeight="1" x14ac:dyDescent="0.25">
      <c r="A308"/>
      <c r="B308"/>
      <c r="C308"/>
      <c r="D308" s="13"/>
      <c r="E308"/>
      <c r="F308"/>
      <c r="G308"/>
      <c r="H308"/>
    </row>
    <row r="309" spans="1:8" s="10" customFormat="1" ht="14.25" customHeight="1" x14ac:dyDescent="0.25">
      <c r="A309"/>
      <c r="B309"/>
      <c r="C309"/>
      <c r="D309" s="13"/>
      <c r="E309"/>
      <c r="F309"/>
      <c r="G309"/>
      <c r="H309"/>
    </row>
    <row r="310" spans="1:8" s="10" customFormat="1" ht="14.25" customHeight="1" x14ac:dyDescent="0.25">
      <c r="A310"/>
      <c r="B310"/>
      <c r="C310"/>
      <c r="D310" s="13"/>
      <c r="E310"/>
      <c r="F310"/>
      <c r="G310"/>
      <c r="H310"/>
    </row>
    <row r="311" spans="1:8" s="10" customFormat="1" ht="14.25" customHeight="1" x14ac:dyDescent="0.25">
      <c r="A311"/>
      <c r="B311"/>
      <c r="C311"/>
      <c r="D311" s="13"/>
      <c r="E311"/>
      <c r="F311"/>
      <c r="G311"/>
      <c r="H311"/>
    </row>
    <row r="312" spans="1:8" s="10" customFormat="1" ht="14.25" customHeight="1" x14ac:dyDescent="0.25">
      <c r="A312"/>
      <c r="B312"/>
      <c r="C312"/>
      <c r="D312" s="13"/>
      <c r="E312"/>
      <c r="F312"/>
      <c r="G312"/>
      <c r="H312"/>
    </row>
    <row r="313" spans="1:8" s="10" customFormat="1" ht="14.25" customHeight="1" x14ac:dyDescent="0.25">
      <c r="A313"/>
      <c r="B313"/>
      <c r="C313"/>
      <c r="D313" s="13"/>
      <c r="E313"/>
      <c r="F313"/>
      <c r="G313"/>
      <c r="H313"/>
    </row>
    <row r="314" spans="1:8" s="10" customFormat="1" ht="14.25" customHeight="1" x14ac:dyDescent="0.25">
      <c r="A314"/>
      <c r="B314"/>
      <c r="C314"/>
      <c r="D314" s="13"/>
      <c r="E314"/>
      <c r="F314"/>
      <c r="G314"/>
      <c r="H314"/>
    </row>
    <row r="315" spans="1:8" s="10" customFormat="1" ht="14.25" customHeight="1" x14ac:dyDescent="0.25">
      <c r="A315"/>
      <c r="B315"/>
      <c r="C315"/>
      <c r="D315" s="13"/>
      <c r="E315"/>
      <c r="F315"/>
      <c r="G315"/>
      <c r="H315"/>
    </row>
    <row r="316" spans="1:8" s="10" customFormat="1" ht="14.25" customHeight="1" x14ac:dyDescent="0.25">
      <c r="A316"/>
      <c r="B316"/>
      <c r="C316"/>
      <c r="D316" s="13"/>
      <c r="E316"/>
      <c r="F316"/>
      <c r="G316"/>
      <c r="H316"/>
    </row>
    <row r="317" spans="1:8" s="10" customFormat="1" ht="14.25" customHeight="1" x14ac:dyDescent="0.25">
      <c r="A317"/>
      <c r="B317"/>
      <c r="C317"/>
      <c r="D317" s="13"/>
      <c r="E317"/>
      <c r="F317"/>
      <c r="G317"/>
      <c r="H317"/>
    </row>
    <row r="318" spans="1:8" s="10" customFormat="1" ht="14.25" customHeight="1" x14ac:dyDescent="0.25">
      <c r="A318"/>
      <c r="B318"/>
      <c r="C318"/>
      <c r="D318" s="13"/>
      <c r="E318"/>
      <c r="F318"/>
      <c r="G318"/>
      <c r="H318"/>
    </row>
    <row r="319" spans="1:8" s="10" customFormat="1" ht="14.25" customHeight="1" x14ac:dyDescent="0.25">
      <c r="A319"/>
      <c r="B319"/>
      <c r="C319"/>
      <c r="D319" s="13"/>
      <c r="E319"/>
      <c r="F319"/>
      <c r="G319"/>
      <c r="H319"/>
    </row>
    <row r="320" spans="1:8" s="10" customFormat="1" ht="14.25" customHeight="1" x14ac:dyDescent="0.25">
      <c r="A320"/>
      <c r="B320"/>
      <c r="C320"/>
      <c r="D320" s="13"/>
      <c r="E320"/>
      <c r="F320"/>
      <c r="G320"/>
      <c r="H320"/>
    </row>
    <row r="321" spans="1:8" s="10" customFormat="1" ht="14.25" customHeight="1" x14ac:dyDescent="0.25">
      <c r="A321"/>
      <c r="B321"/>
      <c r="C321"/>
      <c r="D321" s="13"/>
      <c r="E321"/>
      <c r="F321"/>
      <c r="G321"/>
      <c r="H321"/>
    </row>
    <row r="322" spans="1:8" s="10" customFormat="1" ht="14.25" customHeight="1" x14ac:dyDescent="0.25">
      <c r="A322"/>
      <c r="B322"/>
      <c r="C322"/>
      <c r="D322" s="13"/>
      <c r="E322"/>
      <c r="F322"/>
      <c r="G322"/>
      <c r="H322"/>
    </row>
    <row r="323" spans="1:8" s="10" customFormat="1" ht="14.25" customHeight="1" x14ac:dyDescent="0.25">
      <c r="A323"/>
      <c r="B323"/>
      <c r="C323"/>
      <c r="D323" s="13"/>
      <c r="E323"/>
      <c r="F323"/>
      <c r="G323"/>
      <c r="H323"/>
    </row>
    <row r="324" spans="1:8" s="10" customFormat="1" ht="14.25" customHeight="1" x14ac:dyDescent="0.25">
      <c r="A324"/>
      <c r="B324"/>
      <c r="C324"/>
      <c r="D324" s="13"/>
      <c r="E324"/>
      <c r="F324"/>
      <c r="G324"/>
      <c r="H324"/>
    </row>
    <row r="325" spans="1:8" s="10" customFormat="1" ht="14.25" customHeight="1" x14ac:dyDescent="0.25">
      <c r="A325"/>
      <c r="B325"/>
      <c r="C325"/>
      <c r="D325" s="13"/>
      <c r="E325"/>
      <c r="F325"/>
      <c r="G325"/>
      <c r="H325"/>
    </row>
    <row r="326" spans="1:8" s="10" customFormat="1" ht="14.25" customHeight="1" x14ac:dyDescent="0.25">
      <c r="A326"/>
      <c r="B326"/>
      <c r="C326"/>
      <c r="D326" s="13"/>
      <c r="E326"/>
      <c r="F326"/>
      <c r="G326"/>
      <c r="H326"/>
    </row>
    <row r="327" spans="1:8" s="10" customFormat="1" ht="14.25" customHeight="1" x14ac:dyDescent="0.25">
      <c r="A327"/>
      <c r="B327"/>
      <c r="C327"/>
      <c r="D327" s="13"/>
      <c r="E327"/>
      <c r="F327"/>
      <c r="G327"/>
      <c r="H327"/>
    </row>
    <row r="328" spans="1:8" s="10" customFormat="1" ht="14.25" customHeight="1" x14ac:dyDescent="0.25">
      <c r="A328"/>
      <c r="B328"/>
      <c r="C328"/>
      <c r="D328" s="13"/>
      <c r="E328"/>
      <c r="F328"/>
      <c r="G328"/>
      <c r="H328"/>
    </row>
    <row r="329" spans="1:8" s="10" customFormat="1" ht="14.25" customHeight="1" x14ac:dyDescent="0.25">
      <c r="A329"/>
      <c r="B329"/>
      <c r="C329"/>
      <c r="D329" s="13"/>
      <c r="E329"/>
      <c r="F329"/>
      <c r="G329"/>
      <c r="H329"/>
    </row>
    <row r="330" spans="1:8" s="10" customFormat="1" ht="14.25" customHeight="1" x14ac:dyDescent="0.25">
      <c r="A330"/>
      <c r="B330"/>
      <c r="C330"/>
      <c r="D330" s="13"/>
      <c r="E330"/>
      <c r="F330"/>
      <c r="G330"/>
      <c r="H330"/>
    </row>
    <row r="331" spans="1:8" s="10" customFormat="1" ht="14.25" customHeight="1" x14ac:dyDescent="0.25">
      <c r="A331"/>
      <c r="B331"/>
      <c r="C331"/>
      <c r="D331" s="13"/>
      <c r="E331"/>
      <c r="F331"/>
      <c r="G331"/>
      <c r="H331"/>
    </row>
    <row r="332" spans="1:8" s="10" customFormat="1" ht="14.25" customHeight="1" x14ac:dyDescent="0.25">
      <c r="A332"/>
      <c r="B332"/>
      <c r="C332"/>
      <c r="D332" s="13"/>
      <c r="E332"/>
      <c r="F332"/>
      <c r="G332"/>
      <c r="H332"/>
    </row>
    <row r="333" spans="1:8" s="10" customFormat="1" ht="14.25" customHeight="1" x14ac:dyDescent="0.25">
      <c r="A333"/>
      <c r="B333"/>
      <c r="C333"/>
      <c r="D333" s="13"/>
      <c r="E333"/>
      <c r="F333"/>
      <c r="G333"/>
      <c r="H333"/>
    </row>
    <row r="334" spans="1:8" s="10" customFormat="1" ht="14.25" customHeight="1" x14ac:dyDescent="0.25">
      <c r="A334"/>
      <c r="B334"/>
      <c r="C334"/>
      <c r="D334" s="13"/>
      <c r="E334"/>
      <c r="F334"/>
      <c r="G334"/>
      <c r="H334"/>
    </row>
    <row r="335" spans="1:8" s="10" customFormat="1" ht="14.25" customHeight="1" x14ac:dyDescent="0.25">
      <c r="A335"/>
      <c r="B335"/>
      <c r="C335"/>
      <c r="D335" s="13"/>
      <c r="E335"/>
      <c r="F335"/>
      <c r="G335"/>
      <c r="H335"/>
    </row>
    <row r="336" spans="1:8" s="10" customFormat="1" ht="14.25" customHeight="1" x14ac:dyDescent="0.25">
      <c r="A336"/>
      <c r="B336"/>
      <c r="C336"/>
      <c r="D336" s="13"/>
      <c r="E336"/>
      <c r="F336"/>
      <c r="G336"/>
      <c r="H336"/>
    </row>
    <row r="337" spans="1:8" s="10" customFormat="1" ht="14.25" customHeight="1" x14ac:dyDescent="0.25">
      <c r="A337"/>
      <c r="B337"/>
      <c r="C337"/>
      <c r="D337" s="13"/>
      <c r="E337"/>
      <c r="F337"/>
      <c r="G337"/>
      <c r="H337"/>
    </row>
    <row r="338" spans="1:8" s="10" customFormat="1" ht="14.25" customHeight="1" x14ac:dyDescent="0.25">
      <c r="A338"/>
      <c r="B338"/>
      <c r="C338"/>
      <c r="D338" s="13"/>
      <c r="E338"/>
      <c r="F338"/>
      <c r="G338"/>
      <c r="H338"/>
    </row>
    <row r="339" spans="1:8" s="10" customFormat="1" ht="14.25" customHeight="1" x14ac:dyDescent="0.25">
      <c r="A339"/>
      <c r="B339"/>
      <c r="C339"/>
      <c r="D339" s="13"/>
      <c r="E339"/>
      <c r="F339"/>
      <c r="G339"/>
      <c r="H339"/>
    </row>
    <row r="340" spans="1:8" s="10" customFormat="1" ht="14.25" customHeight="1" x14ac:dyDescent="0.25">
      <c r="A340"/>
      <c r="B340"/>
      <c r="C340"/>
      <c r="D340" s="13"/>
      <c r="E340"/>
      <c r="F340"/>
      <c r="G340"/>
      <c r="H340"/>
    </row>
    <row r="341" spans="1:8" s="10" customFormat="1" ht="14.25" customHeight="1" x14ac:dyDescent="0.25">
      <c r="A341"/>
      <c r="B341"/>
      <c r="C341"/>
      <c r="D341" s="13"/>
      <c r="E341"/>
      <c r="F341"/>
      <c r="G341"/>
      <c r="H341"/>
    </row>
    <row r="342" spans="1:8" s="10" customFormat="1" ht="14.25" customHeight="1" x14ac:dyDescent="0.25">
      <c r="A342"/>
      <c r="B342"/>
      <c r="C342"/>
      <c r="D342" s="13"/>
      <c r="E342"/>
      <c r="F342"/>
      <c r="G342"/>
      <c r="H342"/>
    </row>
    <row r="343" spans="1:8" s="10" customFormat="1" ht="14.25" customHeight="1" x14ac:dyDescent="0.25">
      <c r="A343"/>
      <c r="B343"/>
      <c r="C343"/>
      <c r="D343" s="13"/>
      <c r="E343"/>
      <c r="F343"/>
      <c r="G343"/>
      <c r="H343"/>
    </row>
    <row r="344" spans="1:8" s="10" customFormat="1" ht="14.25" customHeight="1" x14ac:dyDescent="0.25">
      <c r="A344"/>
      <c r="B344"/>
      <c r="C344"/>
      <c r="D344" s="13"/>
      <c r="E344"/>
      <c r="F344"/>
      <c r="G344"/>
      <c r="H344"/>
    </row>
    <row r="345" spans="1:8" s="10" customFormat="1" ht="14.25" customHeight="1" x14ac:dyDescent="0.25">
      <c r="A345"/>
      <c r="B345"/>
      <c r="C345"/>
      <c r="D345" s="13"/>
      <c r="E345"/>
      <c r="F345"/>
      <c r="G345"/>
      <c r="H345"/>
    </row>
    <row r="346" spans="1:8" s="10" customFormat="1" ht="14.25" customHeight="1" x14ac:dyDescent="0.25">
      <c r="A346"/>
      <c r="B346"/>
      <c r="C346"/>
      <c r="D346" s="13"/>
      <c r="E346"/>
      <c r="F346"/>
      <c r="G346"/>
      <c r="H346"/>
    </row>
    <row r="347" spans="1:8" s="10" customFormat="1" ht="14.25" customHeight="1" x14ac:dyDescent="0.25">
      <c r="A347"/>
      <c r="B347"/>
      <c r="C347"/>
      <c r="D347" s="13"/>
      <c r="E347"/>
      <c r="F347"/>
      <c r="G347"/>
      <c r="H347"/>
    </row>
    <row r="348" spans="1:8" s="10" customFormat="1" ht="14.25" customHeight="1" x14ac:dyDescent="0.25">
      <c r="A348"/>
      <c r="B348"/>
      <c r="C348"/>
      <c r="D348" s="13"/>
      <c r="E348"/>
      <c r="F348"/>
      <c r="G348"/>
      <c r="H348"/>
    </row>
    <row r="349" spans="1:8" s="10" customFormat="1" ht="14.25" customHeight="1" x14ac:dyDescent="0.25">
      <c r="A349"/>
      <c r="B349"/>
      <c r="C349"/>
      <c r="D349" s="13"/>
      <c r="E349"/>
      <c r="F349"/>
      <c r="G349"/>
      <c r="H349"/>
    </row>
    <row r="350" spans="1:8" s="10" customFormat="1" ht="14.25" customHeight="1" x14ac:dyDescent="0.25">
      <c r="A350"/>
      <c r="B350"/>
      <c r="C350"/>
      <c r="D350" s="13"/>
      <c r="E350"/>
      <c r="F350"/>
      <c r="G350"/>
      <c r="H350"/>
    </row>
    <row r="351" spans="1:8" s="10" customFormat="1" ht="14.25" customHeight="1" x14ac:dyDescent="0.25">
      <c r="A351"/>
      <c r="B351"/>
      <c r="C351"/>
      <c r="D351" s="13"/>
      <c r="E351"/>
      <c r="F351"/>
      <c r="G351"/>
      <c r="H351"/>
    </row>
    <row r="352" spans="1:8" s="10" customFormat="1" ht="14.25" customHeight="1" x14ac:dyDescent="0.25">
      <c r="A352"/>
      <c r="B352"/>
      <c r="C352"/>
      <c r="D352" s="13"/>
      <c r="E352"/>
      <c r="F352"/>
      <c r="G352"/>
      <c r="H352"/>
    </row>
    <row r="353" spans="1:8" s="10" customFormat="1" ht="14.25" customHeight="1" x14ac:dyDescent="0.25">
      <c r="A353"/>
      <c r="B353"/>
      <c r="C353"/>
      <c r="D353" s="13"/>
      <c r="E353"/>
      <c r="F353"/>
      <c r="G353"/>
      <c r="H353"/>
    </row>
    <row r="354" spans="1:8" s="10" customFormat="1" ht="14.25" customHeight="1" x14ac:dyDescent="0.25">
      <c r="A354"/>
      <c r="B354"/>
      <c r="C354"/>
      <c r="D354" s="13"/>
      <c r="E354"/>
      <c r="F354"/>
      <c r="G354"/>
      <c r="H354"/>
    </row>
    <row r="355" spans="1:8" s="10" customFormat="1" ht="14.25" customHeight="1" x14ac:dyDescent="0.25">
      <c r="A355"/>
      <c r="B355"/>
      <c r="C355"/>
      <c r="D355" s="13"/>
      <c r="E355"/>
      <c r="F355"/>
      <c r="G355"/>
      <c r="H355"/>
    </row>
    <row r="356" spans="1:8" s="10" customFormat="1" ht="14.25" customHeight="1" x14ac:dyDescent="0.25">
      <c r="A356"/>
      <c r="B356"/>
      <c r="C356"/>
      <c r="D356" s="13"/>
      <c r="E356"/>
      <c r="F356"/>
      <c r="G356"/>
      <c r="H356"/>
    </row>
    <row r="357" spans="1:8" s="10" customFormat="1" ht="14.25" customHeight="1" x14ac:dyDescent="0.25">
      <c r="A357"/>
      <c r="B357"/>
      <c r="C357"/>
      <c r="D357" s="13"/>
      <c r="E357"/>
      <c r="F357"/>
      <c r="G357"/>
      <c r="H357"/>
    </row>
    <row r="358" spans="1:8" s="10" customFormat="1" ht="14.25" customHeight="1" x14ac:dyDescent="0.25">
      <c r="A358"/>
      <c r="B358"/>
      <c r="C358"/>
      <c r="D358" s="13"/>
      <c r="E358"/>
      <c r="F358"/>
      <c r="G358"/>
      <c r="H358"/>
    </row>
    <row r="359" spans="1:8" s="10" customFormat="1" ht="14.25" customHeight="1" x14ac:dyDescent="0.25">
      <c r="A359"/>
      <c r="B359"/>
      <c r="C359"/>
      <c r="D359" s="13"/>
      <c r="E359"/>
      <c r="F359"/>
      <c r="G359"/>
      <c r="H359"/>
    </row>
    <row r="360" spans="1:8" s="10" customFormat="1" ht="14.25" customHeight="1" x14ac:dyDescent="0.25">
      <c r="A360"/>
      <c r="B360"/>
      <c r="C360"/>
      <c r="D360" s="13"/>
      <c r="E360"/>
      <c r="F360"/>
      <c r="G360"/>
      <c r="H360"/>
    </row>
    <row r="361" spans="1:8" s="10" customFormat="1" ht="14.25" customHeight="1" x14ac:dyDescent="0.25">
      <c r="A361"/>
      <c r="B361"/>
      <c r="C361"/>
      <c r="D361" s="13"/>
      <c r="E361"/>
      <c r="F361"/>
      <c r="G361"/>
      <c r="H361"/>
    </row>
    <row r="362" spans="1:8" s="10" customFormat="1" ht="14.25" customHeight="1" x14ac:dyDescent="0.25">
      <c r="A362"/>
      <c r="B362"/>
      <c r="C362"/>
      <c r="D362" s="13"/>
      <c r="E362"/>
      <c r="F362"/>
      <c r="G362"/>
      <c r="H362"/>
    </row>
    <row r="363" spans="1:8" s="10" customFormat="1" ht="14.25" customHeight="1" x14ac:dyDescent="0.25">
      <c r="A363"/>
      <c r="B363"/>
      <c r="C363"/>
      <c r="D363" s="13"/>
      <c r="E363"/>
      <c r="F363"/>
      <c r="G363"/>
      <c r="H363"/>
    </row>
    <row r="364" spans="1:8" s="10" customFormat="1" ht="14.25" customHeight="1" x14ac:dyDescent="0.25">
      <c r="A364"/>
      <c r="B364"/>
      <c r="C364"/>
      <c r="D364" s="13"/>
      <c r="E364"/>
      <c r="F364"/>
      <c r="G364"/>
      <c r="H364"/>
    </row>
    <row r="365" spans="1:8" s="10" customFormat="1" ht="14.25" customHeight="1" x14ac:dyDescent="0.25">
      <c r="A365"/>
      <c r="B365"/>
      <c r="C365"/>
      <c r="D365" s="13"/>
      <c r="E365"/>
      <c r="F365"/>
      <c r="G365"/>
      <c r="H365"/>
    </row>
    <row r="366" spans="1:8" s="10" customFormat="1" ht="14.25" customHeight="1" x14ac:dyDescent="0.25">
      <c r="A366"/>
      <c r="B366"/>
      <c r="C366"/>
      <c r="D366" s="13"/>
      <c r="E366"/>
      <c r="F366"/>
      <c r="G366"/>
      <c r="H366"/>
    </row>
    <row r="367" spans="1:8" s="10" customFormat="1" ht="14.25" customHeight="1" x14ac:dyDescent="0.25">
      <c r="A367"/>
      <c r="B367"/>
      <c r="C367"/>
      <c r="D367" s="13"/>
      <c r="E367"/>
      <c r="F367"/>
      <c r="G367"/>
      <c r="H367"/>
    </row>
    <row r="368" spans="1:8" s="10" customFormat="1" ht="14.25" customHeight="1" x14ac:dyDescent="0.25">
      <c r="A368"/>
      <c r="B368"/>
      <c r="C368"/>
      <c r="D368" s="13"/>
      <c r="E368"/>
      <c r="F368"/>
      <c r="G368"/>
      <c r="H368"/>
    </row>
    <row r="369" spans="1:8" s="10" customFormat="1" ht="14.25" customHeight="1" x14ac:dyDescent="0.25">
      <c r="A369"/>
      <c r="B369"/>
      <c r="C369"/>
      <c r="D369" s="13"/>
      <c r="E369"/>
      <c r="F369"/>
      <c r="G369"/>
      <c r="H369"/>
    </row>
    <row r="370" spans="1:8" s="10" customFormat="1" ht="14.25" customHeight="1" x14ac:dyDescent="0.25">
      <c r="A370"/>
      <c r="B370"/>
      <c r="C370"/>
      <c r="D370" s="13"/>
      <c r="E370"/>
      <c r="F370"/>
      <c r="G370"/>
      <c r="H370"/>
    </row>
    <row r="371" spans="1:8" s="10" customFormat="1" ht="14.25" customHeight="1" x14ac:dyDescent="0.25">
      <c r="A371"/>
      <c r="B371"/>
      <c r="C371"/>
      <c r="D371" s="13"/>
      <c r="E371"/>
      <c r="F371"/>
      <c r="G371"/>
      <c r="H371"/>
    </row>
    <row r="372" spans="1:8" s="10" customFormat="1" ht="14.25" customHeight="1" x14ac:dyDescent="0.25">
      <c r="A372"/>
      <c r="B372"/>
      <c r="C372"/>
      <c r="D372" s="13"/>
      <c r="E372"/>
      <c r="F372"/>
      <c r="G372"/>
      <c r="H372"/>
    </row>
    <row r="373" spans="1:8" s="10" customFormat="1" ht="14.25" customHeight="1" x14ac:dyDescent="0.25">
      <c r="A373"/>
      <c r="B373"/>
      <c r="C373"/>
      <c r="D373" s="13"/>
      <c r="E373"/>
      <c r="F373"/>
      <c r="G373"/>
      <c r="H373"/>
    </row>
    <row r="374" spans="1:8" s="10" customFormat="1" ht="14.25" customHeight="1" x14ac:dyDescent="0.25">
      <c r="A374"/>
      <c r="B374"/>
      <c r="C374"/>
      <c r="D374" s="13"/>
      <c r="E374"/>
      <c r="F374"/>
      <c r="G374"/>
      <c r="H374"/>
    </row>
    <row r="375" spans="1:8" s="10" customFormat="1" ht="14.25" customHeight="1" x14ac:dyDescent="0.25">
      <c r="A375"/>
      <c r="B375"/>
      <c r="C375"/>
      <c r="D375" s="13"/>
      <c r="E375"/>
      <c r="F375"/>
      <c r="G375"/>
      <c r="H375"/>
    </row>
    <row r="376" spans="1:8" s="10" customFormat="1" ht="14.25" customHeight="1" x14ac:dyDescent="0.25">
      <c r="A376"/>
      <c r="B376"/>
      <c r="C376"/>
      <c r="D376" s="13"/>
      <c r="E376"/>
      <c r="F376"/>
      <c r="G376"/>
      <c r="H376"/>
    </row>
    <row r="377" spans="1:8" s="10" customFormat="1" ht="14.25" customHeight="1" x14ac:dyDescent="0.25">
      <c r="A377"/>
      <c r="B377"/>
      <c r="C377"/>
      <c r="D377" s="13"/>
      <c r="E377"/>
      <c r="F377"/>
      <c r="G377"/>
      <c r="H377"/>
    </row>
    <row r="378" spans="1:8" s="10" customFormat="1" ht="14.25" customHeight="1" x14ac:dyDescent="0.25">
      <c r="A378"/>
      <c r="B378"/>
      <c r="C378"/>
      <c r="D378" s="13"/>
      <c r="E378"/>
      <c r="F378"/>
      <c r="G378"/>
      <c r="H378"/>
    </row>
    <row r="379" spans="1:8" s="10" customFormat="1" ht="14.25" customHeight="1" x14ac:dyDescent="0.25">
      <c r="A379"/>
      <c r="B379"/>
      <c r="C379"/>
      <c r="D379" s="13"/>
      <c r="E379"/>
      <c r="F379"/>
      <c r="G379"/>
      <c r="H379"/>
    </row>
    <row r="380" spans="1:8" s="10" customFormat="1" ht="14.25" customHeight="1" x14ac:dyDescent="0.25">
      <c r="A380"/>
      <c r="B380"/>
      <c r="C380"/>
      <c r="D380" s="13"/>
      <c r="E380"/>
      <c r="F380"/>
      <c r="G380"/>
      <c r="H380"/>
    </row>
    <row r="381" spans="1:8" s="10" customFormat="1" ht="14.25" customHeight="1" x14ac:dyDescent="0.25">
      <c r="A381"/>
      <c r="B381"/>
      <c r="C381"/>
      <c r="D381" s="13"/>
      <c r="E381"/>
      <c r="F381"/>
      <c r="G381"/>
      <c r="H381"/>
    </row>
    <row r="382" spans="1:8" s="10" customFormat="1" ht="14.25" customHeight="1" x14ac:dyDescent="0.25">
      <c r="A382"/>
      <c r="B382"/>
      <c r="C382"/>
      <c r="D382" s="13"/>
      <c r="E382"/>
      <c r="F382"/>
      <c r="G382"/>
      <c r="H382"/>
    </row>
    <row r="383" spans="1:8" s="10" customFormat="1" ht="14.25" customHeight="1" x14ac:dyDescent="0.25">
      <c r="A383"/>
      <c r="B383"/>
      <c r="C383"/>
      <c r="D383" s="13"/>
      <c r="E383"/>
      <c r="F383"/>
      <c r="G383"/>
      <c r="H383"/>
    </row>
    <row r="384" spans="1:8" s="10" customFormat="1" ht="14.25" customHeight="1" x14ac:dyDescent="0.25">
      <c r="A384"/>
      <c r="B384"/>
      <c r="C384"/>
      <c r="D384" s="13"/>
      <c r="E384"/>
      <c r="F384"/>
      <c r="G384"/>
      <c r="H384"/>
    </row>
    <row r="385" spans="1:8" s="10" customFormat="1" ht="14.25" customHeight="1" x14ac:dyDescent="0.25">
      <c r="A385"/>
      <c r="B385"/>
      <c r="C385"/>
      <c r="D385" s="13"/>
      <c r="E385"/>
      <c r="F385"/>
      <c r="G385"/>
      <c r="H385"/>
    </row>
    <row r="386" spans="1:8" s="10" customFormat="1" ht="14.25" customHeight="1" x14ac:dyDescent="0.25">
      <c r="A386"/>
      <c r="B386"/>
      <c r="C386"/>
      <c r="D386" s="13"/>
      <c r="E386"/>
      <c r="F386"/>
      <c r="G386"/>
      <c r="H386"/>
    </row>
    <row r="387" spans="1:8" s="10" customFormat="1" ht="14.25" customHeight="1" x14ac:dyDescent="0.25">
      <c r="A387"/>
      <c r="B387"/>
      <c r="C387"/>
      <c r="D387" s="13"/>
      <c r="E387"/>
      <c r="F387"/>
      <c r="G387"/>
      <c r="H387"/>
    </row>
    <row r="388" spans="1:8" s="10" customFormat="1" ht="14.25" customHeight="1" x14ac:dyDescent="0.25">
      <c r="A388"/>
      <c r="B388"/>
      <c r="C388"/>
      <c r="D388" s="13"/>
      <c r="E388"/>
      <c r="F388"/>
      <c r="G388"/>
      <c r="H388"/>
    </row>
    <row r="389" spans="1:8" s="10" customFormat="1" ht="14.25" customHeight="1" x14ac:dyDescent="0.25">
      <c r="A389"/>
      <c r="B389"/>
      <c r="C389"/>
      <c r="D389" s="13"/>
      <c r="E389"/>
      <c r="F389"/>
      <c r="G389"/>
      <c r="H389"/>
    </row>
    <row r="390" spans="1:8" s="10" customFormat="1" ht="14.25" customHeight="1" x14ac:dyDescent="0.25">
      <c r="A390"/>
      <c r="B390"/>
      <c r="C390"/>
      <c r="D390" s="13"/>
      <c r="E390"/>
      <c r="F390"/>
      <c r="G390"/>
      <c r="H390"/>
    </row>
    <row r="391" spans="1:8" s="10" customFormat="1" ht="14.25" customHeight="1" x14ac:dyDescent="0.25">
      <c r="A391"/>
      <c r="B391"/>
      <c r="C391"/>
      <c r="D391" s="13"/>
      <c r="E391"/>
      <c r="F391"/>
      <c r="G391"/>
      <c r="H391"/>
    </row>
    <row r="392" spans="1:8" s="10" customFormat="1" ht="14.25" customHeight="1" x14ac:dyDescent="0.25">
      <c r="A392"/>
      <c r="B392"/>
      <c r="C392"/>
      <c r="D392" s="13"/>
      <c r="E392"/>
      <c r="F392"/>
      <c r="G392"/>
      <c r="H392"/>
    </row>
    <row r="393" spans="1:8" s="10" customFormat="1" ht="14.25" customHeight="1" x14ac:dyDescent="0.25">
      <c r="A393"/>
      <c r="B393"/>
      <c r="C393"/>
      <c r="D393" s="13"/>
      <c r="E393"/>
      <c r="F393"/>
      <c r="G393"/>
      <c r="H393"/>
    </row>
    <row r="394" spans="1:8" s="10" customFormat="1" ht="14.25" customHeight="1" x14ac:dyDescent="0.25">
      <c r="A394"/>
      <c r="B394"/>
      <c r="C394"/>
      <c r="D394" s="13"/>
      <c r="E394"/>
      <c r="F394"/>
      <c r="G394"/>
      <c r="H394"/>
    </row>
    <row r="395" spans="1:8" s="10" customFormat="1" ht="14.25" customHeight="1" x14ac:dyDescent="0.25">
      <c r="A395"/>
      <c r="B395"/>
      <c r="C395"/>
      <c r="D395" s="13"/>
      <c r="E395"/>
      <c r="F395"/>
      <c r="G395"/>
      <c r="H395"/>
    </row>
    <row r="396" spans="1:8" s="10" customFormat="1" ht="14.25" customHeight="1" x14ac:dyDescent="0.25">
      <c r="A396"/>
      <c r="B396"/>
      <c r="C396"/>
      <c r="D396" s="13"/>
      <c r="E396"/>
      <c r="F396"/>
      <c r="G396"/>
      <c r="H396"/>
    </row>
    <row r="397" spans="1:8" s="10" customFormat="1" ht="14.25" customHeight="1" x14ac:dyDescent="0.25">
      <c r="A397"/>
      <c r="B397"/>
      <c r="C397"/>
      <c r="D397" s="13"/>
      <c r="E397"/>
      <c r="F397"/>
      <c r="G397"/>
      <c r="H397"/>
    </row>
    <row r="398" spans="1:8" s="10" customFormat="1" ht="14.25" customHeight="1" x14ac:dyDescent="0.25">
      <c r="A398"/>
      <c r="B398"/>
      <c r="C398"/>
      <c r="D398" s="13"/>
      <c r="E398"/>
      <c r="F398"/>
      <c r="G398"/>
      <c r="H398"/>
    </row>
    <row r="399" spans="1:8" s="10" customFormat="1" ht="14.25" customHeight="1" x14ac:dyDescent="0.25">
      <c r="A399"/>
      <c r="B399"/>
      <c r="C399"/>
      <c r="D399" s="13"/>
      <c r="E399"/>
      <c r="F399"/>
      <c r="G399"/>
      <c r="H399"/>
    </row>
    <row r="400" spans="1:8" s="10" customFormat="1" ht="14.25" customHeight="1" x14ac:dyDescent="0.25">
      <c r="A400"/>
      <c r="B400"/>
      <c r="C400"/>
      <c r="D400" s="13"/>
      <c r="E400"/>
      <c r="F400"/>
      <c r="G400"/>
      <c r="H400"/>
    </row>
    <row r="401" spans="1:8" s="10" customFormat="1" ht="14.25" customHeight="1" x14ac:dyDescent="0.25">
      <c r="A401"/>
      <c r="B401"/>
      <c r="C401"/>
      <c r="D401" s="13"/>
      <c r="E401"/>
      <c r="F401"/>
      <c r="G401"/>
      <c r="H401"/>
    </row>
    <row r="402" spans="1:8" s="10" customFormat="1" ht="14.25" customHeight="1" x14ac:dyDescent="0.25">
      <c r="A402"/>
      <c r="B402"/>
      <c r="C402"/>
      <c r="D402" s="13"/>
      <c r="E402"/>
      <c r="F402"/>
      <c r="G402"/>
      <c r="H402"/>
    </row>
    <row r="403" spans="1:8" s="10" customFormat="1" ht="14.25" customHeight="1" x14ac:dyDescent="0.25">
      <c r="A403"/>
      <c r="B403"/>
      <c r="C403"/>
      <c r="D403" s="13"/>
      <c r="E403"/>
      <c r="F403"/>
      <c r="G403"/>
      <c r="H403"/>
    </row>
    <row r="404" spans="1:8" s="10" customFormat="1" ht="14.25" customHeight="1" x14ac:dyDescent="0.25">
      <c r="A404"/>
      <c r="B404"/>
      <c r="C404"/>
      <c r="D404" s="13"/>
      <c r="E404"/>
      <c r="F404"/>
      <c r="G404"/>
      <c r="H404"/>
    </row>
    <row r="405" spans="1:8" s="10" customFormat="1" ht="14.25" customHeight="1" x14ac:dyDescent="0.25">
      <c r="A405"/>
      <c r="B405"/>
      <c r="C405"/>
      <c r="D405" s="13"/>
      <c r="E405"/>
      <c r="F405"/>
      <c r="G405"/>
      <c r="H405"/>
    </row>
    <row r="406" spans="1:8" s="10" customFormat="1" ht="14.25" customHeight="1" x14ac:dyDescent="0.25">
      <c r="A406"/>
      <c r="B406"/>
      <c r="C406"/>
      <c r="D406" s="13"/>
      <c r="E406"/>
      <c r="F406"/>
      <c r="G406"/>
      <c r="H406"/>
    </row>
    <row r="407" spans="1:8" s="10" customFormat="1" ht="14.25" customHeight="1" x14ac:dyDescent="0.25">
      <c r="A407"/>
      <c r="B407"/>
      <c r="C407"/>
      <c r="D407" s="13"/>
      <c r="E407"/>
      <c r="F407"/>
      <c r="G407"/>
      <c r="H407"/>
    </row>
    <row r="408" spans="1:8" s="10" customFormat="1" ht="14.25" customHeight="1" x14ac:dyDescent="0.25">
      <c r="A408"/>
      <c r="B408"/>
      <c r="C408"/>
      <c r="D408" s="13"/>
      <c r="E408"/>
      <c r="F408"/>
      <c r="G408"/>
      <c r="H408"/>
    </row>
    <row r="409" spans="1:8" s="10" customFormat="1" ht="14.25" customHeight="1" x14ac:dyDescent="0.25">
      <c r="A409"/>
      <c r="B409"/>
      <c r="C409"/>
      <c r="D409" s="13"/>
      <c r="E409"/>
      <c r="F409"/>
      <c r="G409"/>
      <c r="H409"/>
    </row>
    <row r="410" spans="1:8" s="10" customFormat="1" ht="14.25" customHeight="1" x14ac:dyDescent="0.25">
      <c r="A410"/>
      <c r="B410"/>
      <c r="C410"/>
      <c r="D410" s="13"/>
      <c r="E410"/>
      <c r="F410"/>
      <c r="G410"/>
      <c r="H410"/>
    </row>
    <row r="411" spans="1:8" s="10" customFormat="1" ht="14.25" customHeight="1" x14ac:dyDescent="0.25">
      <c r="A411"/>
      <c r="B411"/>
      <c r="C411"/>
      <c r="D411" s="13"/>
      <c r="E411"/>
      <c r="F411"/>
      <c r="G411"/>
      <c r="H411"/>
    </row>
    <row r="412" spans="1:8" s="10" customFormat="1" ht="14.25" customHeight="1" x14ac:dyDescent="0.25">
      <c r="A412"/>
      <c r="B412"/>
      <c r="C412"/>
      <c r="D412" s="13"/>
      <c r="E412"/>
      <c r="F412"/>
      <c r="G412"/>
      <c r="H412"/>
    </row>
    <row r="413" spans="1:8" s="10" customFormat="1" ht="14.25" customHeight="1" x14ac:dyDescent="0.25">
      <c r="A413"/>
      <c r="B413"/>
      <c r="C413"/>
      <c r="D413" s="13"/>
      <c r="E413"/>
      <c r="F413"/>
      <c r="G413"/>
      <c r="H413"/>
    </row>
    <row r="414" spans="1:8" s="10" customFormat="1" ht="14.25" customHeight="1" x14ac:dyDescent="0.25">
      <c r="A414"/>
      <c r="B414"/>
      <c r="C414"/>
      <c r="D414" s="13"/>
      <c r="E414"/>
      <c r="F414"/>
      <c r="G414"/>
      <c r="H414"/>
    </row>
    <row r="415" spans="1:8" s="10" customFormat="1" ht="14.25" customHeight="1" x14ac:dyDescent="0.25">
      <c r="A415"/>
      <c r="B415"/>
      <c r="C415"/>
      <c r="D415" s="13"/>
      <c r="E415"/>
      <c r="F415"/>
      <c r="G415"/>
      <c r="H415"/>
    </row>
    <row r="416" spans="1:8" s="10" customFormat="1" ht="14.25" customHeight="1" x14ac:dyDescent="0.25">
      <c r="A416"/>
      <c r="B416"/>
      <c r="C416"/>
      <c r="D416" s="13"/>
      <c r="E416"/>
      <c r="F416"/>
      <c r="G416"/>
      <c r="H416"/>
    </row>
    <row r="417" spans="1:8" s="10" customFormat="1" ht="14.25" customHeight="1" x14ac:dyDescent="0.25">
      <c r="A417"/>
      <c r="B417"/>
      <c r="C417"/>
      <c r="D417" s="13"/>
      <c r="E417"/>
      <c r="F417"/>
      <c r="G417"/>
      <c r="H417"/>
    </row>
    <row r="418" spans="1:8" s="10" customFormat="1" ht="14.25" customHeight="1" x14ac:dyDescent="0.25">
      <c r="A418"/>
      <c r="B418"/>
      <c r="C418"/>
      <c r="D418" s="13"/>
      <c r="E418"/>
      <c r="F418"/>
      <c r="G418"/>
      <c r="H418"/>
    </row>
    <row r="419" spans="1:8" s="10" customFormat="1" ht="14.25" customHeight="1" x14ac:dyDescent="0.25">
      <c r="A419"/>
      <c r="B419"/>
      <c r="C419"/>
      <c r="D419" s="13"/>
      <c r="E419"/>
      <c r="F419"/>
      <c r="G419"/>
      <c r="H419"/>
    </row>
    <row r="420" spans="1:8" s="10" customFormat="1" ht="14.25" customHeight="1" x14ac:dyDescent="0.25">
      <c r="A420"/>
      <c r="B420"/>
      <c r="C420"/>
      <c r="D420" s="13"/>
      <c r="E420"/>
      <c r="F420"/>
      <c r="G420"/>
      <c r="H420"/>
    </row>
    <row r="421" spans="1:8" s="10" customFormat="1" ht="14.25" customHeight="1" x14ac:dyDescent="0.25">
      <c r="A421"/>
      <c r="B421"/>
      <c r="C421"/>
      <c r="D421" s="13"/>
      <c r="E421"/>
      <c r="F421"/>
      <c r="G421"/>
      <c r="H421"/>
    </row>
    <row r="422" spans="1:8" s="10" customFormat="1" ht="14.25" customHeight="1" x14ac:dyDescent="0.25">
      <c r="A422"/>
      <c r="B422"/>
      <c r="C422"/>
      <c r="D422" s="13"/>
      <c r="E422"/>
      <c r="F422"/>
      <c r="G422"/>
      <c r="H422"/>
    </row>
    <row r="423" spans="1:8" s="10" customFormat="1" ht="14.25" customHeight="1" x14ac:dyDescent="0.25">
      <c r="A423"/>
      <c r="B423"/>
      <c r="C423"/>
      <c r="D423" s="13"/>
      <c r="E423"/>
      <c r="F423"/>
      <c r="G423"/>
      <c r="H423"/>
    </row>
    <row r="424" spans="1:8" s="10" customFormat="1" ht="14.25" customHeight="1" x14ac:dyDescent="0.25">
      <c r="A424"/>
      <c r="B424"/>
      <c r="C424"/>
      <c r="D424" s="13"/>
      <c r="E424"/>
      <c r="F424"/>
      <c r="G424"/>
      <c r="H424"/>
    </row>
    <row r="425" spans="1:8" s="10" customFormat="1" ht="14.25" customHeight="1" x14ac:dyDescent="0.25">
      <c r="A425"/>
      <c r="B425"/>
      <c r="C425"/>
      <c r="D425" s="13"/>
      <c r="E425"/>
      <c r="F425"/>
      <c r="G425"/>
      <c r="H425"/>
    </row>
    <row r="426" spans="1:8" s="10" customFormat="1" ht="14.25" customHeight="1" x14ac:dyDescent="0.25">
      <c r="A426"/>
      <c r="B426"/>
      <c r="C426"/>
      <c r="D426" s="13"/>
      <c r="E426"/>
      <c r="F426"/>
      <c r="G426"/>
      <c r="H426"/>
    </row>
    <row r="427" spans="1:8" s="10" customFormat="1" ht="14.25" customHeight="1" x14ac:dyDescent="0.25">
      <c r="A427"/>
      <c r="B427"/>
      <c r="C427"/>
      <c r="D427" s="13"/>
      <c r="E427"/>
      <c r="F427"/>
      <c r="G427"/>
      <c r="H427"/>
    </row>
    <row r="428" spans="1:8" s="10" customFormat="1" ht="14.25" customHeight="1" x14ac:dyDescent="0.25">
      <c r="A428"/>
      <c r="B428"/>
      <c r="C428"/>
      <c r="D428" s="13"/>
      <c r="E428"/>
      <c r="F428"/>
      <c r="G428"/>
      <c r="H428"/>
    </row>
    <row r="429" spans="1:8" s="10" customFormat="1" ht="14.25" customHeight="1" x14ac:dyDescent="0.25">
      <c r="A429"/>
      <c r="B429"/>
      <c r="C429"/>
      <c r="D429" s="13"/>
      <c r="E429"/>
      <c r="F429"/>
      <c r="G429"/>
      <c r="H429"/>
    </row>
    <row r="430" spans="1:8" s="10" customFormat="1" ht="14.25" customHeight="1" x14ac:dyDescent="0.25">
      <c r="A430"/>
      <c r="B430"/>
      <c r="C430"/>
      <c r="D430" s="13"/>
      <c r="E430"/>
      <c r="F430"/>
      <c r="G430"/>
      <c r="H430"/>
    </row>
    <row r="431" spans="1:8" s="10" customFormat="1" ht="14.25" customHeight="1" x14ac:dyDescent="0.25">
      <c r="A431"/>
      <c r="B431"/>
      <c r="C431"/>
      <c r="D431" s="13"/>
      <c r="E431"/>
      <c r="F431"/>
      <c r="G431"/>
      <c r="H431"/>
    </row>
    <row r="432" spans="1:8" s="10" customFormat="1" ht="14.25" customHeight="1" x14ac:dyDescent="0.25">
      <c r="A432"/>
      <c r="B432"/>
      <c r="C432"/>
      <c r="D432" s="13"/>
      <c r="E432"/>
      <c r="F432"/>
      <c r="G432"/>
      <c r="H432"/>
    </row>
    <row r="433" spans="1:8" s="10" customFormat="1" ht="14.25" customHeight="1" x14ac:dyDescent="0.25">
      <c r="A433"/>
      <c r="B433"/>
      <c r="C433"/>
      <c r="D433" s="13"/>
      <c r="E433"/>
      <c r="F433"/>
      <c r="G433"/>
      <c r="H433"/>
    </row>
    <row r="434" spans="1:8" s="10" customFormat="1" ht="14.25" customHeight="1" x14ac:dyDescent="0.25">
      <c r="A434"/>
      <c r="B434"/>
      <c r="C434"/>
      <c r="D434" s="13"/>
      <c r="E434"/>
      <c r="F434"/>
      <c r="G434"/>
      <c r="H434"/>
    </row>
    <row r="435" spans="1:8" s="10" customFormat="1" ht="14.25" customHeight="1" x14ac:dyDescent="0.25">
      <c r="A435"/>
      <c r="B435"/>
      <c r="C435"/>
      <c r="D435" s="13"/>
      <c r="E435"/>
      <c r="F435"/>
      <c r="G435"/>
      <c r="H435"/>
    </row>
    <row r="436" spans="1:8" s="10" customFormat="1" ht="14.25" customHeight="1" x14ac:dyDescent="0.25">
      <c r="A436"/>
      <c r="B436"/>
      <c r="C436"/>
      <c r="D436" s="13"/>
      <c r="E436"/>
      <c r="F436"/>
      <c r="G436"/>
      <c r="H436"/>
    </row>
    <row r="437" spans="1:8" s="10" customFormat="1" ht="14.25" customHeight="1" x14ac:dyDescent="0.25">
      <c r="A437"/>
      <c r="B437"/>
      <c r="C437"/>
      <c r="D437" s="13"/>
      <c r="E437"/>
      <c r="F437"/>
      <c r="G437"/>
      <c r="H437"/>
    </row>
    <row r="438" spans="1:8" s="10" customFormat="1" ht="14.25" customHeight="1" x14ac:dyDescent="0.25">
      <c r="A438"/>
      <c r="B438"/>
      <c r="C438"/>
      <c r="D438" s="13"/>
      <c r="E438"/>
      <c r="F438"/>
      <c r="G438"/>
      <c r="H438"/>
    </row>
    <row r="439" spans="1:8" s="10" customFormat="1" ht="14.25" customHeight="1" x14ac:dyDescent="0.25">
      <c r="A439"/>
      <c r="B439"/>
      <c r="C439"/>
      <c r="D439" s="13"/>
      <c r="E439"/>
      <c r="F439"/>
      <c r="G439"/>
      <c r="H439"/>
    </row>
    <row r="440" spans="1:8" s="10" customFormat="1" ht="14.25" customHeight="1" x14ac:dyDescent="0.25">
      <c r="A440"/>
      <c r="B440"/>
      <c r="C440"/>
      <c r="D440" s="13"/>
      <c r="E440"/>
      <c r="F440"/>
      <c r="G440"/>
      <c r="H440"/>
    </row>
    <row r="441" spans="1:8" s="10" customFormat="1" ht="14.25" customHeight="1" x14ac:dyDescent="0.25">
      <c r="A441"/>
      <c r="B441"/>
      <c r="C441"/>
      <c r="D441" s="13"/>
      <c r="E441"/>
      <c r="F441"/>
      <c r="G441"/>
      <c r="H441"/>
    </row>
    <row r="442" spans="1:8" s="10" customFormat="1" ht="14.25" customHeight="1" x14ac:dyDescent="0.25">
      <c r="A442"/>
      <c r="B442"/>
      <c r="C442"/>
      <c r="D442" s="13"/>
      <c r="E442"/>
      <c r="F442"/>
      <c r="G442"/>
      <c r="H442"/>
    </row>
    <row r="443" spans="1:8" s="10" customFormat="1" ht="14.25" customHeight="1" x14ac:dyDescent="0.25">
      <c r="A443"/>
      <c r="B443"/>
      <c r="C443"/>
      <c r="D443" s="13"/>
      <c r="E443"/>
      <c r="F443"/>
      <c r="G443"/>
      <c r="H443"/>
    </row>
    <row r="444" spans="1:8" s="10" customFormat="1" ht="14.25" customHeight="1" x14ac:dyDescent="0.25">
      <c r="A444"/>
      <c r="B444"/>
      <c r="C444"/>
      <c r="D444" s="13"/>
      <c r="E444"/>
      <c r="F444"/>
      <c r="G444"/>
      <c r="H444"/>
    </row>
    <row r="445" spans="1:8" s="10" customFormat="1" ht="14.25" customHeight="1" x14ac:dyDescent="0.25">
      <c r="A445"/>
      <c r="B445"/>
      <c r="C445"/>
      <c r="D445" s="13"/>
      <c r="E445"/>
      <c r="F445"/>
      <c r="G445"/>
      <c r="H445"/>
    </row>
    <row r="446" spans="1:8" s="10" customFormat="1" ht="14.25" customHeight="1" x14ac:dyDescent="0.25">
      <c r="A446"/>
      <c r="B446"/>
      <c r="C446"/>
      <c r="D446" s="13"/>
      <c r="E446"/>
      <c r="F446"/>
      <c r="G446"/>
      <c r="H446"/>
    </row>
    <row r="447" spans="1:8" s="10" customFormat="1" ht="14.25" customHeight="1" x14ac:dyDescent="0.25">
      <c r="A447"/>
      <c r="B447"/>
      <c r="C447"/>
      <c r="D447" s="13"/>
      <c r="E447"/>
      <c r="F447"/>
      <c r="G447"/>
      <c r="H447"/>
    </row>
    <row r="448" spans="1:8" s="10" customFormat="1" ht="14.25" customHeight="1" x14ac:dyDescent="0.25">
      <c r="A448"/>
      <c r="B448"/>
      <c r="C448"/>
      <c r="D448" s="13"/>
      <c r="E448"/>
      <c r="F448"/>
      <c r="G448"/>
      <c r="H448"/>
    </row>
    <row r="449" spans="1:8" s="10" customFormat="1" ht="14.25" customHeight="1" x14ac:dyDescent="0.25">
      <c r="A449"/>
      <c r="B449"/>
      <c r="C449"/>
      <c r="D449" s="13"/>
      <c r="E449"/>
      <c r="F449"/>
      <c r="G449"/>
      <c r="H449"/>
    </row>
    <row r="450" spans="1:8" s="10" customFormat="1" ht="14.25" customHeight="1" x14ac:dyDescent="0.25">
      <c r="A450"/>
      <c r="B450"/>
      <c r="C450"/>
      <c r="D450" s="13"/>
      <c r="E450"/>
      <c r="F450"/>
      <c r="G450"/>
      <c r="H450"/>
    </row>
    <row r="451" spans="1:8" s="10" customFormat="1" ht="14.25" customHeight="1" x14ac:dyDescent="0.25">
      <c r="A451"/>
      <c r="B451"/>
      <c r="C451"/>
      <c r="D451" s="13"/>
      <c r="E451"/>
      <c r="F451"/>
      <c r="G451"/>
      <c r="H451"/>
    </row>
    <row r="452" spans="1:8" s="10" customFormat="1" ht="14.25" customHeight="1" x14ac:dyDescent="0.25">
      <c r="A452"/>
      <c r="B452"/>
      <c r="C452"/>
      <c r="D452" s="13"/>
      <c r="E452"/>
      <c r="F452"/>
      <c r="G452"/>
      <c r="H452"/>
    </row>
    <row r="453" spans="1:8" s="10" customFormat="1" ht="14.25" customHeight="1" x14ac:dyDescent="0.25">
      <c r="A453"/>
      <c r="B453"/>
      <c r="C453"/>
      <c r="D453" s="13"/>
      <c r="E453"/>
      <c r="F453"/>
      <c r="G453"/>
      <c r="H453"/>
    </row>
    <row r="454" spans="1:8" s="10" customFormat="1" ht="14.25" customHeight="1" x14ac:dyDescent="0.25">
      <c r="A454"/>
      <c r="B454"/>
      <c r="C454"/>
      <c r="D454" s="13"/>
      <c r="E454"/>
      <c r="F454"/>
      <c r="G454"/>
      <c r="H454"/>
    </row>
    <row r="455" spans="1:8" s="10" customFormat="1" ht="14.25" customHeight="1" x14ac:dyDescent="0.25">
      <c r="A455"/>
      <c r="B455"/>
      <c r="C455"/>
      <c r="D455" s="13"/>
      <c r="E455"/>
      <c r="F455"/>
      <c r="G455"/>
      <c r="H455"/>
    </row>
    <row r="456" spans="1:8" s="10" customFormat="1" ht="14.25" customHeight="1" x14ac:dyDescent="0.25">
      <c r="A456"/>
      <c r="B456"/>
      <c r="C456"/>
      <c r="D456" s="13"/>
      <c r="E456"/>
      <c r="F456"/>
      <c r="G456"/>
      <c r="H456"/>
    </row>
    <row r="457" spans="1:8" s="10" customFormat="1" ht="14.25" customHeight="1" x14ac:dyDescent="0.25">
      <c r="A457"/>
      <c r="B457"/>
      <c r="C457"/>
      <c r="D457" s="13"/>
      <c r="E457"/>
      <c r="F457"/>
      <c r="G457"/>
      <c r="H457"/>
    </row>
    <row r="458" spans="1:8" s="10" customFormat="1" ht="14.25" customHeight="1" x14ac:dyDescent="0.25">
      <c r="A458"/>
      <c r="B458"/>
      <c r="C458"/>
      <c r="D458" s="13"/>
      <c r="E458"/>
      <c r="F458"/>
      <c r="G458"/>
      <c r="H458"/>
    </row>
    <row r="459" spans="1:8" s="10" customFormat="1" ht="14.25" customHeight="1" x14ac:dyDescent="0.25">
      <c r="A459"/>
      <c r="B459"/>
      <c r="C459"/>
      <c r="D459" s="13"/>
      <c r="E459"/>
      <c r="F459"/>
      <c r="G459"/>
      <c r="H459"/>
    </row>
    <row r="460" spans="1:8" s="10" customFormat="1" ht="14.25" customHeight="1" x14ac:dyDescent="0.25">
      <c r="A460"/>
      <c r="B460"/>
      <c r="C460"/>
      <c r="D460" s="13"/>
      <c r="E460"/>
      <c r="F460"/>
      <c r="G460"/>
      <c r="H460"/>
    </row>
    <row r="461" spans="1:8" s="10" customFormat="1" ht="14.25" customHeight="1" x14ac:dyDescent="0.25">
      <c r="A461"/>
      <c r="B461"/>
      <c r="C461"/>
      <c r="D461" s="13"/>
      <c r="E461"/>
      <c r="F461"/>
      <c r="G461"/>
      <c r="H461"/>
    </row>
    <row r="462" spans="1:8" s="10" customFormat="1" ht="14.25" customHeight="1" x14ac:dyDescent="0.25">
      <c r="A462"/>
      <c r="B462"/>
      <c r="C462"/>
      <c r="D462" s="13"/>
      <c r="E462"/>
      <c r="F462"/>
      <c r="G462"/>
      <c r="H462"/>
    </row>
    <row r="463" spans="1:8" s="10" customFormat="1" ht="14.25" customHeight="1" x14ac:dyDescent="0.25">
      <c r="A463"/>
      <c r="B463"/>
      <c r="C463"/>
      <c r="D463" s="13"/>
      <c r="E463"/>
      <c r="F463"/>
      <c r="G463"/>
      <c r="H463"/>
    </row>
    <row r="464" spans="1:8" s="10" customFormat="1" ht="14.25" customHeight="1" x14ac:dyDescent="0.25">
      <c r="A464"/>
      <c r="B464"/>
      <c r="C464"/>
      <c r="D464" s="13"/>
      <c r="E464"/>
      <c r="F464"/>
      <c r="G464"/>
      <c r="H464"/>
    </row>
    <row r="465" spans="1:8" s="10" customFormat="1" ht="14.25" customHeight="1" x14ac:dyDescent="0.25">
      <c r="A465"/>
      <c r="B465"/>
      <c r="C465"/>
      <c r="D465" s="13"/>
      <c r="E465"/>
      <c r="F465"/>
      <c r="G465"/>
      <c r="H465"/>
    </row>
    <row r="466" spans="1:8" s="10" customFormat="1" ht="14.25" customHeight="1" x14ac:dyDescent="0.25">
      <c r="A466"/>
      <c r="B466"/>
      <c r="C466"/>
      <c r="D466" s="13"/>
      <c r="E466"/>
      <c r="F466"/>
      <c r="G466"/>
      <c r="H466"/>
    </row>
    <row r="467" spans="1:8" s="10" customFormat="1" ht="14.25" customHeight="1" x14ac:dyDescent="0.25">
      <c r="A467"/>
      <c r="B467"/>
      <c r="C467"/>
      <c r="D467" s="13"/>
      <c r="E467"/>
      <c r="F467"/>
      <c r="G467"/>
      <c r="H467"/>
    </row>
    <row r="468" spans="1:8" s="10" customFormat="1" ht="14.25" customHeight="1" x14ac:dyDescent="0.25">
      <c r="A468"/>
      <c r="B468"/>
      <c r="C468"/>
      <c r="D468" s="13"/>
      <c r="E468"/>
      <c r="F468"/>
      <c r="G468"/>
      <c r="H468"/>
    </row>
    <row r="469" spans="1:8" s="10" customFormat="1" ht="14.25" customHeight="1" x14ac:dyDescent="0.25">
      <c r="A469"/>
      <c r="B469"/>
      <c r="C469"/>
      <c r="D469" s="13"/>
      <c r="E469"/>
      <c r="F469"/>
      <c r="G469"/>
      <c r="H469"/>
    </row>
    <row r="470" spans="1:8" s="10" customFormat="1" ht="14.25" customHeight="1" x14ac:dyDescent="0.25">
      <c r="A470"/>
      <c r="B470"/>
      <c r="C470"/>
      <c r="D470" s="13"/>
      <c r="E470"/>
      <c r="F470"/>
      <c r="G470"/>
      <c r="H470"/>
    </row>
    <row r="471" spans="1:8" s="10" customFormat="1" ht="14.25" customHeight="1" x14ac:dyDescent="0.25">
      <c r="A471"/>
      <c r="B471"/>
      <c r="C471"/>
      <c r="D471" s="13"/>
      <c r="E471"/>
      <c r="F471"/>
      <c r="G471"/>
      <c r="H471"/>
    </row>
    <row r="472" spans="1:8" s="10" customFormat="1" ht="14.25" customHeight="1" x14ac:dyDescent="0.25">
      <c r="A472"/>
      <c r="B472"/>
      <c r="C472"/>
      <c r="D472" s="13"/>
      <c r="E472"/>
      <c r="F472"/>
      <c r="G472"/>
      <c r="H472"/>
    </row>
    <row r="473" spans="1:8" s="10" customFormat="1" ht="14.25" customHeight="1" x14ac:dyDescent="0.25">
      <c r="A473"/>
      <c r="B473"/>
      <c r="C473"/>
      <c r="D473" s="13"/>
      <c r="E473"/>
      <c r="F473"/>
      <c r="G473"/>
      <c r="H473"/>
    </row>
    <row r="474" spans="1:8" s="10" customFormat="1" ht="14.25" customHeight="1" x14ac:dyDescent="0.25">
      <c r="A474"/>
      <c r="B474"/>
      <c r="C474"/>
      <c r="D474" s="13"/>
      <c r="E474"/>
      <c r="F474"/>
      <c r="G474"/>
      <c r="H474"/>
    </row>
    <row r="475" spans="1:8" s="10" customFormat="1" ht="14.25" customHeight="1" x14ac:dyDescent="0.25">
      <c r="A475"/>
      <c r="B475"/>
      <c r="C475"/>
      <c r="D475" s="13"/>
      <c r="E475"/>
      <c r="F475"/>
      <c r="G475"/>
      <c r="H475"/>
    </row>
    <row r="476" spans="1:8" s="10" customFormat="1" ht="14.25" customHeight="1" x14ac:dyDescent="0.25">
      <c r="A476"/>
      <c r="B476"/>
      <c r="C476"/>
      <c r="D476" s="13"/>
      <c r="E476"/>
      <c r="F476"/>
      <c r="G476"/>
      <c r="H476"/>
    </row>
    <row r="477" spans="1:8" s="10" customFormat="1" ht="14.25" customHeight="1" x14ac:dyDescent="0.25">
      <c r="A477"/>
      <c r="B477"/>
      <c r="C477"/>
      <c r="D477" s="13"/>
      <c r="E477"/>
      <c r="F477"/>
      <c r="G477"/>
      <c r="H477"/>
    </row>
    <row r="478" spans="1:8" s="10" customFormat="1" ht="14.25" customHeight="1" x14ac:dyDescent="0.25">
      <c r="A478"/>
      <c r="B478"/>
      <c r="C478"/>
      <c r="D478" s="13"/>
      <c r="E478"/>
      <c r="F478"/>
      <c r="G478"/>
      <c r="H478"/>
    </row>
    <row r="479" spans="1:8" s="10" customFormat="1" ht="14.25" customHeight="1" x14ac:dyDescent="0.25">
      <c r="A479"/>
      <c r="B479"/>
      <c r="C479"/>
      <c r="D479" s="13"/>
      <c r="E479"/>
      <c r="F479"/>
      <c r="G479"/>
      <c r="H479"/>
    </row>
    <row r="480" spans="1:8" s="10" customFormat="1" ht="14.25" customHeight="1" x14ac:dyDescent="0.25">
      <c r="A480"/>
      <c r="B480"/>
      <c r="C480"/>
      <c r="D480" s="13"/>
      <c r="E480"/>
      <c r="F480"/>
      <c r="G480"/>
      <c r="H480"/>
    </row>
    <row r="481" spans="1:8" s="10" customFormat="1" ht="14.25" customHeight="1" x14ac:dyDescent="0.25">
      <c r="A481"/>
      <c r="B481"/>
      <c r="C481"/>
      <c r="D481" s="13"/>
      <c r="E481"/>
      <c r="F481"/>
      <c r="G481"/>
      <c r="H481"/>
    </row>
    <row r="482" spans="1:8" s="10" customFormat="1" ht="14.25" customHeight="1" x14ac:dyDescent="0.25">
      <c r="A482"/>
      <c r="B482"/>
      <c r="C482"/>
      <c r="D482" s="13"/>
      <c r="E482"/>
      <c r="F482"/>
      <c r="G482"/>
      <c r="H482"/>
    </row>
    <row r="483" spans="1:8" s="10" customFormat="1" ht="14.25" customHeight="1" x14ac:dyDescent="0.25">
      <c r="A483"/>
      <c r="B483"/>
      <c r="C483"/>
      <c r="D483" s="13"/>
      <c r="E483"/>
      <c r="F483"/>
      <c r="G483"/>
      <c r="H483"/>
    </row>
    <row r="484" spans="1:8" s="10" customFormat="1" ht="14.25" customHeight="1" x14ac:dyDescent="0.25">
      <c r="A484"/>
      <c r="B484"/>
      <c r="C484"/>
      <c r="D484" s="13"/>
      <c r="E484"/>
      <c r="F484"/>
      <c r="G484"/>
      <c r="H484"/>
    </row>
    <row r="485" spans="1:8" s="10" customFormat="1" ht="14.25" customHeight="1" x14ac:dyDescent="0.25">
      <c r="A485"/>
      <c r="B485"/>
      <c r="C485"/>
      <c r="D485" s="13"/>
      <c r="E485"/>
      <c r="F485"/>
      <c r="G485"/>
      <c r="H485"/>
    </row>
    <row r="486" spans="1:8" s="10" customFormat="1" ht="14.25" customHeight="1" x14ac:dyDescent="0.25">
      <c r="A486"/>
      <c r="B486"/>
      <c r="C486"/>
      <c r="D486" s="13"/>
      <c r="E486"/>
      <c r="F486"/>
      <c r="G486"/>
      <c r="H486"/>
    </row>
    <row r="487" spans="1:8" s="10" customFormat="1" ht="14.25" customHeight="1" x14ac:dyDescent="0.25">
      <c r="A487"/>
      <c r="B487"/>
      <c r="C487"/>
      <c r="D487" s="13"/>
      <c r="E487"/>
      <c r="F487"/>
      <c r="G487"/>
      <c r="H487"/>
    </row>
    <row r="488" spans="1:8" s="10" customFormat="1" ht="14.25" customHeight="1" x14ac:dyDescent="0.25">
      <c r="A488"/>
      <c r="B488"/>
      <c r="C488"/>
      <c r="D488" s="13"/>
      <c r="E488"/>
      <c r="F488"/>
      <c r="G488"/>
      <c r="H488"/>
    </row>
    <row r="489" spans="1:8" s="10" customFormat="1" ht="14.25" customHeight="1" x14ac:dyDescent="0.25">
      <c r="A489"/>
      <c r="B489"/>
      <c r="C489"/>
      <c r="D489" s="13"/>
      <c r="E489"/>
      <c r="F489"/>
      <c r="G489"/>
      <c r="H489"/>
    </row>
    <row r="490" spans="1:8" s="10" customFormat="1" ht="14.25" customHeight="1" x14ac:dyDescent="0.25">
      <c r="A490"/>
      <c r="B490"/>
      <c r="C490"/>
      <c r="D490" s="13"/>
      <c r="E490"/>
      <c r="F490"/>
      <c r="G490"/>
      <c r="H490"/>
    </row>
    <row r="491" spans="1:8" s="10" customFormat="1" ht="14.25" customHeight="1" x14ac:dyDescent="0.25">
      <c r="A491"/>
      <c r="B491"/>
      <c r="C491"/>
      <c r="D491" s="13"/>
      <c r="E491"/>
      <c r="F491"/>
      <c r="G491"/>
      <c r="H491"/>
    </row>
    <row r="492" spans="1:8" s="10" customFormat="1" ht="14.25" customHeight="1" x14ac:dyDescent="0.25">
      <c r="A492"/>
      <c r="B492"/>
      <c r="C492"/>
      <c r="D492" s="13"/>
      <c r="E492"/>
      <c r="F492"/>
      <c r="G492"/>
      <c r="H492"/>
    </row>
    <row r="493" spans="1:8" s="10" customFormat="1" ht="14.25" customHeight="1" x14ac:dyDescent="0.25">
      <c r="A493"/>
      <c r="B493"/>
      <c r="C493"/>
      <c r="D493" s="13"/>
      <c r="E493"/>
      <c r="F493"/>
      <c r="G493"/>
      <c r="H493"/>
    </row>
    <row r="494" spans="1:8" s="10" customFormat="1" ht="14.25" customHeight="1" x14ac:dyDescent="0.25">
      <c r="A494"/>
      <c r="B494"/>
      <c r="C494"/>
      <c r="D494" s="13"/>
      <c r="E494"/>
      <c r="F494"/>
      <c r="G494"/>
      <c r="H494"/>
    </row>
    <row r="495" spans="1:8" s="10" customFormat="1" ht="14.25" customHeight="1" x14ac:dyDescent="0.25">
      <c r="A495"/>
      <c r="B495"/>
      <c r="C495"/>
      <c r="D495" s="13"/>
      <c r="E495"/>
      <c r="F495"/>
      <c r="G495"/>
      <c r="H495"/>
    </row>
    <row r="496" spans="1:8" s="10" customFormat="1" ht="14.25" customHeight="1" x14ac:dyDescent="0.25">
      <c r="A496"/>
      <c r="B496"/>
      <c r="C496"/>
      <c r="D496" s="13"/>
      <c r="E496"/>
      <c r="F496"/>
      <c r="G496"/>
      <c r="H496"/>
    </row>
    <row r="497" spans="1:8" s="10" customFormat="1" ht="14.25" customHeight="1" x14ac:dyDescent="0.25">
      <c r="A497"/>
      <c r="B497"/>
      <c r="C497"/>
      <c r="D497" s="13"/>
      <c r="E497"/>
      <c r="F497"/>
      <c r="G497"/>
      <c r="H497"/>
    </row>
    <row r="498" spans="1:8" s="10" customFormat="1" ht="14.25" customHeight="1" x14ac:dyDescent="0.25">
      <c r="A498"/>
      <c r="B498"/>
      <c r="C498"/>
      <c r="D498" s="13"/>
      <c r="E498"/>
      <c r="F498"/>
      <c r="G498"/>
      <c r="H498"/>
    </row>
    <row r="499" spans="1:8" s="10" customFormat="1" ht="14.25" customHeight="1" x14ac:dyDescent="0.25">
      <c r="A499"/>
      <c r="B499"/>
      <c r="C499"/>
      <c r="D499" s="13"/>
      <c r="E499"/>
      <c r="F499"/>
      <c r="G499"/>
      <c r="H499"/>
    </row>
    <row r="500" spans="1:8" s="10" customFormat="1" ht="14.25" customHeight="1" x14ac:dyDescent="0.25">
      <c r="A500"/>
      <c r="B500"/>
      <c r="C500"/>
      <c r="D500" s="13"/>
      <c r="E500"/>
      <c r="F500"/>
      <c r="G500"/>
      <c r="H500"/>
    </row>
    <row r="501" spans="1:8" s="10" customFormat="1" ht="14.25" customHeight="1" x14ac:dyDescent="0.25">
      <c r="A501"/>
      <c r="B501"/>
      <c r="C501"/>
      <c r="D501" s="13"/>
      <c r="E501"/>
      <c r="F501"/>
      <c r="G501"/>
      <c r="H501"/>
    </row>
    <row r="502" spans="1:8" s="10" customFormat="1" ht="14.25" customHeight="1" x14ac:dyDescent="0.25">
      <c r="A502"/>
      <c r="B502"/>
      <c r="C502"/>
      <c r="D502" s="13"/>
      <c r="E502"/>
      <c r="F502"/>
      <c r="G502"/>
      <c r="H502"/>
    </row>
    <row r="503" spans="1:8" s="10" customFormat="1" ht="14.25" customHeight="1" x14ac:dyDescent="0.25">
      <c r="A503"/>
      <c r="B503"/>
      <c r="C503"/>
      <c r="D503" s="13"/>
      <c r="E503"/>
      <c r="F503"/>
      <c r="G503"/>
      <c r="H503"/>
    </row>
    <row r="504" spans="1:8" s="10" customFormat="1" ht="14.25" customHeight="1" x14ac:dyDescent="0.25">
      <c r="A504"/>
      <c r="B504"/>
      <c r="C504"/>
      <c r="D504" s="13"/>
      <c r="E504"/>
      <c r="F504"/>
      <c r="G504"/>
      <c r="H504"/>
    </row>
    <row r="505" spans="1:8" s="10" customFormat="1" ht="14.25" customHeight="1" x14ac:dyDescent="0.25">
      <c r="A505"/>
      <c r="B505"/>
      <c r="C505"/>
      <c r="D505" s="13"/>
      <c r="E505"/>
      <c r="F505"/>
      <c r="G505"/>
      <c r="H505"/>
    </row>
    <row r="506" spans="1:8" s="10" customFormat="1" ht="14.25" customHeight="1" x14ac:dyDescent="0.25">
      <c r="A506"/>
      <c r="B506"/>
      <c r="C506"/>
      <c r="D506" s="13"/>
      <c r="E506"/>
      <c r="F506"/>
      <c r="G506"/>
      <c r="H506"/>
    </row>
    <row r="507" spans="1:8" s="10" customFormat="1" ht="14.25" customHeight="1" x14ac:dyDescent="0.25">
      <c r="A507"/>
      <c r="B507"/>
      <c r="C507"/>
      <c r="D507" s="13"/>
      <c r="E507"/>
      <c r="F507"/>
      <c r="G507"/>
      <c r="H507"/>
    </row>
    <row r="508" spans="1:8" s="10" customFormat="1" ht="14.25" customHeight="1" x14ac:dyDescent="0.25">
      <c r="A508"/>
      <c r="B508"/>
      <c r="C508"/>
      <c r="D508" s="13"/>
      <c r="E508"/>
      <c r="F508"/>
      <c r="G508"/>
      <c r="H508"/>
    </row>
    <row r="509" spans="1:8" s="10" customFormat="1" ht="14.25" customHeight="1" x14ac:dyDescent="0.25">
      <c r="A509"/>
      <c r="B509"/>
      <c r="C509"/>
      <c r="D509" s="13"/>
      <c r="E509"/>
      <c r="F509"/>
      <c r="G509"/>
      <c r="H509"/>
    </row>
    <row r="510" spans="1:8" s="10" customFormat="1" ht="14.25" customHeight="1" x14ac:dyDescent="0.25">
      <c r="A510"/>
      <c r="B510"/>
      <c r="C510"/>
      <c r="D510" s="13"/>
      <c r="E510"/>
      <c r="F510"/>
      <c r="G510"/>
      <c r="H510"/>
    </row>
    <row r="511" spans="1:8" s="10" customFormat="1" ht="14.25" customHeight="1" x14ac:dyDescent="0.25">
      <c r="A511"/>
      <c r="B511"/>
      <c r="C511"/>
      <c r="D511" s="13"/>
      <c r="E511"/>
      <c r="F511"/>
      <c r="G511"/>
      <c r="H511"/>
    </row>
    <row r="512" spans="1:8" s="10" customFormat="1" ht="14.25" customHeight="1" x14ac:dyDescent="0.25">
      <c r="A512"/>
      <c r="B512"/>
      <c r="C512"/>
      <c r="D512" s="13"/>
      <c r="E512"/>
      <c r="F512"/>
      <c r="G512"/>
      <c r="H512"/>
    </row>
    <row r="513" spans="1:8" s="10" customFormat="1" ht="14.25" customHeight="1" x14ac:dyDescent="0.25">
      <c r="A513"/>
      <c r="B513"/>
      <c r="C513"/>
      <c r="D513" s="13"/>
      <c r="E513"/>
      <c r="F513"/>
      <c r="G513"/>
      <c r="H513"/>
    </row>
    <row r="514" spans="1:8" s="10" customFormat="1" ht="14.25" customHeight="1" x14ac:dyDescent="0.25">
      <c r="A514"/>
      <c r="B514"/>
      <c r="C514"/>
      <c r="D514" s="13"/>
      <c r="E514"/>
      <c r="F514"/>
      <c r="G514"/>
      <c r="H514"/>
    </row>
    <row r="515" spans="1:8" s="10" customFormat="1" ht="14.25" customHeight="1" x14ac:dyDescent="0.25">
      <c r="A515"/>
      <c r="B515"/>
      <c r="C515"/>
      <c r="D515" s="13"/>
      <c r="E515"/>
      <c r="F515"/>
      <c r="G515"/>
      <c r="H515"/>
    </row>
    <row r="516" spans="1:8" s="10" customFormat="1" ht="14.25" customHeight="1" x14ac:dyDescent="0.25">
      <c r="A516"/>
      <c r="B516"/>
      <c r="C516"/>
      <c r="D516" s="13"/>
      <c r="E516"/>
      <c r="F516"/>
      <c r="G516"/>
      <c r="H516"/>
    </row>
    <row r="517" spans="1:8" s="10" customFormat="1" ht="14.25" customHeight="1" x14ac:dyDescent="0.25">
      <c r="A517"/>
      <c r="B517"/>
      <c r="C517"/>
      <c r="D517" s="13"/>
      <c r="E517"/>
      <c r="F517"/>
      <c r="G517"/>
      <c r="H517"/>
    </row>
    <row r="518" spans="1:8" s="10" customFormat="1" ht="14.25" customHeight="1" x14ac:dyDescent="0.25">
      <c r="A518"/>
      <c r="B518"/>
      <c r="C518"/>
      <c r="D518" s="13"/>
      <c r="E518"/>
      <c r="F518"/>
      <c r="G518"/>
      <c r="H518"/>
    </row>
    <row r="519" spans="1:8" s="10" customFormat="1" ht="14.25" customHeight="1" x14ac:dyDescent="0.25">
      <c r="A519"/>
      <c r="B519"/>
      <c r="C519"/>
      <c r="D519" s="13"/>
      <c r="E519"/>
      <c r="F519"/>
      <c r="G519"/>
      <c r="H519"/>
    </row>
    <row r="520" spans="1:8" s="10" customFormat="1" ht="14.25" customHeight="1" x14ac:dyDescent="0.25">
      <c r="A520"/>
      <c r="B520"/>
      <c r="C520"/>
      <c r="D520" s="13"/>
      <c r="E520"/>
      <c r="F520"/>
      <c r="G520"/>
      <c r="H520"/>
    </row>
    <row r="521" spans="1:8" s="10" customFormat="1" ht="14.25" customHeight="1" x14ac:dyDescent="0.25">
      <c r="A521"/>
      <c r="B521"/>
      <c r="C521"/>
      <c r="D521" s="13"/>
      <c r="E521"/>
      <c r="F521"/>
      <c r="G521"/>
      <c r="H521"/>
    </row>
    <row r="522" spans="1:8" s="10" customFormat="1" ht="14.25" customHeight="1" x14ac:dyDescent="0.25">
      <c r="A522"/>
      <c r="B522"/>
      <c r="C522"/>
      <c r="D522" s="13"/>
      <c r="E522"/>
      <c r="F522"/>
      <c r="G522"/>
      <c r="H522"/>
    </row>
    <row r="523" spans="1:8" s="10" customFormat="1" ht="14.25" customHeight="1" x14ac:dyDescent="0.25">
      <c r="A523"/>
      <c r="B523"/>
      <c r="C523"/>
      <c r="D523" s="13"/>
      <c r="E523"/>
      <c r="F523"/>
      <c r="G523"/>
      <c r="H523"/>
    </row>
    <row r="524" spans="1:8" s="10" customFormat="1" ht="14.25" customHeight="1" x14ac:dyDescent="0.25">
      <c r="A524"/>
      <c r="B524"/>
      <c r="C524"/>
      <c r="D524" s="13"/>
      <c r="E524"/>
      <c r="F524"/>
      <c r="G524"/>
      <c r="H524"/>
    </row>
    <row r="525" spans="1:8" s="10" customFormat="1" ht="14.25" customHeight="1" x14ac:dyDescent="0.25">
      <c r="A525"/>
      <c r="B525"/>
      <c r="C525"/>
      <c r="D525" s="13"/>
      <c r="E525"/>
      <c r="F525"/>
      <c r="G525"/>
      <c r="H525"/>
    </row>
    <row r="526" spans="1:8" s="10" customFormat="1" ht="14.25" customHeight="1" x14ac:dyDescent="0.25">
      <c r="A526"/>
      <c r="B526"/>
      <c r="C526"/>
      <c r="D526" s="13"/>
      <c r="E526"/>
      <c r="F526"/>
      <c r="G526"/>
      <c r="H526"/>
    </row>
    <row r="527" spans="1:8" s="10" customFormat="1" ht="14.25" customHeight="1" x14ac:dyDescent="0.25">
      <c r="A527"/>
      <c r="B527"/>
      <c r="C527"/>
      <c r="D527" s="13"/>
      <c r="E527"/>
      <c r="F527"/>
      <c r="G527"/>
      <c r="H527"/>
    </row>
    <row r="528" spans="1:8" s="10" customFormat="1" ht="14.25" customHeight="1" x14ac:dyDescent="0.25">
      <c r="A528"/>
      <c r="B528"/>
      <c r="C528"/>
      <c r="D528" s="13"/>
      <c r="E528"/>
      <c r="F528"/>
      <c r="G528"/>
      <c r="H528"/>
    </row>
    <row r="529" spans="1:8" s="10" customFormat="1" ht="14.25" customHeight="1" x14ac:dyDescent="0.25">
      <c r="A529"/>
      <c r="B529"/>
      <c r="C529"/>
      <c r="D529" s="13"/>
      <c r="E529"/>
      <c r="F529"/>
      <c r="G529"/>
      <c r="H529"/>
    </row>
    <row r="530" spans="1:8" s="10" customFormat="1" ht="14.25" customHeight="1" x14ac:dyDescent="0.25">
      <c r="A530"/>
      <c r="B530"/>
      <c r="C530"/>
      <c r="D530" s="13"/>
      <c r="E530"/>
      <c r="F530"/>
      <c r="G530"/>
      <c r="H530"/>
    </row>
    <row r="531" spans="1:8" s="10" customFormat="1" ht="14.25" customHeight="1" x14ac:dyDescent="0.25">
      <c r="A531"/>
      <c r="B531"/>
      <c r="C531"/>
      <c r="D531" s="13"/>
      <c r="E531"/>
      <c r="F531"/>
      <c r="G531"/>
      <c r="H531"/>
    </row>
    <row r="532" spans="1:8" s="10" customFormat="1" ht="14.25" customHeight="1" x14ac:dyDescent="0.25">
      <c r="A532"/>
      <c r="B532"/>
      <c r="C532"/>
      <c r="D532" s="13"/>
      <c r="E532"/>
      <c r="F532"/>
      <c r="G532"/>
      <c r="H532"/>
    </row>
    <row r="533" spans="1:8" s="10" customFormat="1" ht="14.25" customHeight="1" x14ac:dyDescent="0.25">
      <c r="A533"/>
      <c r="B533"/>
      <c r="C533"/>
      <c r="D533" s="13"/>
      <c r="E533"/>
      <c r="F533"/>
      <c r="G533"/>
      <c r="H533"/>
    </row>
    <row r="534" spans="1:8" s="10" customFormat="1" ht="14.25" customHeight="1" x14ac:dyDescent="0.25">
      <c r="A534"/>
      <c r="B534"/>
      <c r="C534"/>
      <c r="D534" s="13"/>
      <c r="E534"/>
      <c r="F534"/>
      <c r="G534"/>
      <c r="H534"/>
    </row>
    <row r="535" spans="1:8" s="10" customFormat="1" ht="14.25" customHeight="1" x14ac:dyDescent="0.25">
      <c r="A535"/>
      <c r="B535"/>
      <c r="C535"/>
      <c r="D535" s="13"/>
      <c r="E535"/>
      <c r="F535"/>
      <c r="G535"/>
      <c r="H535"/>
    </row>
    <row r="536" spans="1:8" s="10" customFormat="1" ht="14.25" customHeight="1" x14ac:dyDescent="0.25">
      <c r="A536"/>
      <c r="B536"/>
      <c r="C536"/>
      <c r="D536" s="13"/>
      <c r="E536"/>
      <c r="F536"/>
      <c r="G536"/>
      <c r="H536"/>
    </row>
    <row r="537" spans="1:8" s="10" customFormat="1" ht="14.25" customHeight="1" x14ac:dyDescent="0.25">
      <c r="A537"/>
      <c r="B537"/>
      <c r="C537"/>
      <c r="D537" s="13"/>
      <c r="E537"/>
      <c r="F537"/>
      <c r="G537"/>
      <c r="H537"/>
    </row>
    <row r="538" spans="1:8" s="10" customFormat="1" ht="14.25" customHeight="1" x14ac:dyDescent="0.25">
      <c r="A538"/>
      <c r="B538"/>
      <c r="C538"/>
      <c r="D538" s="13"/>
      <c r="E538"/>
      <c r="F538"/>
      <c r="G538"/>
      <c r="H538"/>
    </row>
    <row r="539" spans="1:8" s="10" customFormat="1" ht="14.25" customHeight="1" x14ac:dyDescent="0.25">
      <c r="A539"/>
      <c r="B539"/>
      <c r="C539"/>
      <c r="D539" s="13"/>
      <c r="E539"/>
      <c r="F539"/>
      <c r="G539"/>
      <c r="H539"/>
    </row>
    <row r="540" spans="1:8" s="10" customFormat="1" ht="14.25" customHeight="1" x14ac:dyDescent="0.25">
      <c r="A540"/>
      <c r="B540"/>
      <c r="C540"/>
      <c r="D540" s="13"/>
      <c r="E540"/>
      <c r="F540"/>
      <c r="G540"/>
      <c r="H540"/>
    </row>
    <row r="541" spans="1:8" s="10" customFormat="1" ht="14.25" customHeight="1" x14ac:dyDescent="0.25">
      <c r="A541"/>
      <c r="B541"/>
      <c r="C541"/>
      <c r="D541" s="13"/>
      <c r="E541"/>
      <c r="F541"/>
      <c r="G541"/>
      <c r="H541"/>
    </row>
    <row r="542" spans="1:8" s="10" customFormat="1" ht="14.25" customHeight="1" x14ac:dyDescent="0.25">
      <c r="A542"/>
      <c r="B542"/>
      <c r="C542"/>
      <c r="D542" s="13"/>
      <c r="E542"/>
      <c r="F542"/>
      <c r="G542"/>
      <c r="H542"/>
    </row>
    <row r="543" spans="1:8" s="10" customFormat="1" ht="14.25" customHeight="1" x14ac:dyDescent="0.25">
      <c r="A543"/>
      <c r="B543"/>
      <c r="C543"/>
      <c r="D543" s="13"/>
      <c r="E543"/>
      <c r="F543"/>
      <c r="G543"/>
      <c r="H543"/>
    </row>
    <row r="544" spans="1:8" s="10" customFormat="1" ht="14.25" customHeight="1" x14ac:dyDescent="0.25">
      <c r="A544"/>
      <c r="B544"/>
      <c r="C544"/>
      <c r="D544" s="13"/>
      <c r="E544"/>
      <c r="F544"/>
      <c r="G544"/>
      <c r="H544"/>
    </row>
    <row r="545" spans="1:8" s="10" customFormat="1" ht="14.25" customHeight="1" x14ac:dyDescent="0.25">
      <c r="A545"/>
      <c r="B545"/>
      <c r="C545"/>
      <c r="D545" s="13"/>
      <c r="E545"/>
      <c r="F545"/>
      <c r="G545"/>
      <c r="H545"/>
    </row>
    <row r="546" spans="1:8" s="10" customFormat="1" ht="14.25" customHeight="1" x14ac:dyDescent="0.25">
      <c r="A546"/>
      <c r="B546"/>
      <c r="C546"/>
      <c r="D546" s="13"/>
      <c r="E546"/>
      <c r="F546"/>
      <c r="G546"/>
      <c r="H546"/>
    </row>
    <row r="547" spans="1:8" s="10" customFormat="1" ht="14.25" customHeight="1" x14ac:dyDescent="0.25">
      <c r="A547"/>
      <c r="B547"/>
      <c r="C547"/>
      <c r="D547" s="13"/>
      <c r="E547"/>
      <c r="F547"/>
      <c r="G547"/>
      <c r="H547"/>
    </row>
    <row r="548" spans="1:8" s="10" customFormat="1" ht="14.25" customHeight="1" x14ac:dyDescent="0.25">
      <c r="A548"/>
      <c r="B548"/>
      <c r="C548"/>
      <c r="D548" s="13"/>
      <c r="E548"/>
      <c r="F548"/>
      <c r="G548"/>
      <c r="H548"/>
    </row>
    <row r="549" spans="1:8" s="10" customFormat="1" ht="14.25" customHeight="1" x14ac:dyDescent="0.25">
      <c r="A549"/>
      <c r="B549"/>
      <c r="C549"/>
      <c r="D549" s="13"/>
      <c r="E549"/>
      <c r="F549"/>
      <c r="G549"/>
      <c r="H549"/>
    </row>
    <row r="550" spans="1:8" s="10" customFormat="1" ht="14.25" customHeight="1" x14ac:dyDescent="0.25">
      <c r="A550"/>
      <c r="B550"/>
      <c r="C550"/>
      <c r="D550" s="13"/>
      <c r="E550"/>
      <c r="F550"/>
      <c r="G550"/>
      <c r="H550"/>
    </row>
    <row r="551" spans="1:8" s="10" customFormat="1" ht="14.25" customHeight="1" x14ac:dyDescent="0.25">
      <c r="A551"/>
      <c r="B551"/>
      <c r="C551"/>
      <c r="D551" s="13"/>
      <c r="E551"/>
      <c r="F551"/>
      <c r="G551"/>
      <c r="H551"/>
    </row>
    <row r="552" spans="1:8" s="10" customFormat="1" ht="14.25" customHeight="1" x14ac:dyDescent="0.25">
      <c r="A552"/>
      <c r="B552"/>
      <c r="C552"/>
      <c r="D552" s="13"/>
      <c r="E552"/>
      <c r="F552"/>
      <c r="G552"/>
      <c r="H552"/>
    </row>
    <row r="553" spans="1:8" s="10" customFormat="1" ht="14.25" customHeight="1" x14ac:dyDescent="0.25">
      <c r="A553"/>
      <c r="B553"/>
      <c r="C553"/>
      <c r="D553" s="13"/>
      <c r="E553"/>
      <c r="F553"/>
      <c r="G553"/>
      <c r="H553"/>
    </row>
    <row r="554" spans="1:8" s="10" customFormat="1" ht="14.25" customHeight="1" x14ac:dyDescent="0.25">
      <c r="A554"/>
      <c r="B554"/>
      <c r="C554"/>
      <c r="D554" s="13"/>
      <c r="E554"/>
      <c r="F554"/>
      <c r="G554"/>
      <c r="H554"/>
    </row>
    <row r="555" spans="1:8" s="10" customFormat="1" ht="14.25" customHeight="1" x14ac:dyDescent="0.25">
      <c r="A555"/>
      <c r="B555"/>
      <c r="C555"/>
      <c r="D555" s="13"/>
      <c r="E555"/>
      <c r="F555"/>
      <c r="G555"/>
      <c r="H555"/>
    </row>
    <row r="556" spans="1:8" s="10" customFormat="1" ht="14.25" customHeight="1" x14ac:dyDescent="0.25">
      <c r="A556"/>
      <c r="B556"/>
      <c r="C556"/>
      <c r="D556" s="13"/>
      <c r="E556"/>
      <c r="F556"/>
      <c r="G556"/>
      <c r="H556"/>
    </row>
    <row r="557" spans="1:8" s="10" customFormat="1" ht="14.25" customHeight="1" x14ac:dyDescent="0.25">
      <c r="A557"/>
      <c r="B557"/>
      <c r="C557"/>
      <c r="D557" s="13"/>
      <c r="E557"/>
      <c r="F557"/>
      <c r="G557"/>
      <c r="H557"/>
    </row>
    <row r="558" spans="1:8" s="10" customFormat="1" ht="14.25" customHeight="1" x14ac:dyDescent="0.25">
      <c r="A558"/>
      <c r="B558"/>
      <c r="C558"/>
      <c r="D558" s="13"/>
      <c r="E558"/>
      <c r="F558"/>
      <c r="G558"/>
      <c r="H558"/>
    </row>
    <row r="559" spans="1:8" s="10" customFormat="1" ht="14.25" customHeight="1" x14ac:dyDescent="0.25">
      <c r="A559"/>
      <c r="B559"/>
      <c r="C559"/>
      <c r="D559" s="13"/>
      <c r="E559"/>
      <c r="F559"/>
      <c r="G559"/>
      <c r="H559"/>
    </row>
    <row r="560" spans="1:8" s="10" customFormat="1" ht="14.25" customHeight="1" x14ac:dyDescent="0.25">
      <c r="A560"/>
      <c r="B560"/>
      <c r="C560"/>
      <c r="D560" s="13"/>
      <c r="E560"/>
      <c r="F560"/>
      <c r="G560"/>
      <c r="H560"/>
    </row>
    <row r="561" spans="1:8" s="10" customFormat="1" ht="14.25" customHeight="1" x14ac:dyDescent="0.25">
      <c r="A561"/>
      <c r="B561"/>
      <c r="C561"/>
      <c r="D561" s="13"/>
      <c r="E561"/>
      <c r="F561"/>
      <c r="G561"/>
      <c r="H561"/>
    </row>
    <row r="562" spans="1:8" s="10" customFormat="1" ht="14.25" customHeight="1" x14ac:dyDescent="0.25">
      <c r="A562"/>
      <c r="B562"/>
      <c r="C562"/>
      <c r="D562" s="13"/>
      <c r="E562"/>
      <c r="F562"/>
      <c r="G562"/>
      <c r="H562"/>
    </row>
    <row r="563" spans="1:8" s="10" customFormat="1" ht="14.25" customHeight="1" x14ac:dyDescent="0.25">
      <c r="A563"/>
      <c r="B563"/>
      <c r="C563"/>
      <c r="D563" s="13"/>
      <c r="E563"/>
      <c r="F563"/>
      <c r="G563"/>
      <c r="H563"/>
    </row>
    <row r="564" spans="1:8" s="10" customFormat="1" ht="14.25" customHeight="1" x14ac:dyDescent="0.25">
      <c r="A564"/>
      <c r="B564"/>
      <c r="C564"/>
      <c r="D564" s="13"/>
      <c r="E564"/>
      <c r="F564"/>
      <c r="G564"/>
      <c r="H564"/>
    </row>
    <row r="565" spans="1:8" s="10" customFormat="1" ht="14.25" customHeight="1" x14ac:dyDescent="0.25">
      <c r="A565"/>
      <c r="B565"/>
      <c r="C565"/>
      <c r="D565" s="13"/>
      <c r="E565"/>
      <c r="F565"/>
      <c r="G565"/>
      <c r="H565"/>
    </row>
    <row r="566" spans="1:8" s="10" customFormat="1" ht="14.25" customHeight="1" x14ac:dyDescent="0.25">
      <c r="A566"/>
      <c r="B566"/>
      <c r="C566"/>
      <c r="D566" s="13"/>
      <c r="E566"/>
      <c r="F566"/>
      <c r="G566"/>
      <c r="H566"/>
    </row>
    <row r="567" spans="1:8" s="10" customFormat="1" ht="14.25" customHeight="1" x14ac:dyDescent="0.25">
      <c r="A567"/>
      <c r="B567"/>
      <c r="C567"/>
      <c r="D567" s="13"/>
      <c r="E567"/>
      <c r="F567"/>
      <c r="G567"/>
      <c r="H567"/>
    </row>
    <row r="568" spans="1:8" s="10" customFormat="1" ht="14.25" customHeight="1" x14ac:dyDescent="0.25">
      <c r="A568"/>
      <c r="B568"/>
      <c r="C568"/>
      <c r="D568" s="13"/>
      <c r="E568"/>
      <c r="F568"/>
      <c r="G568"/>
      <c r="H568"/>
    </row>
    <row r="569" spans="1:8" s="10" customFormat="1" ht="14.25" customHeight="1" x14ac:dyDescent="0.25">
      <c r="A569"/>
      <c r="B569"/>
      <c r="C569"/>
      <c r="D569" s="13"/>
      <c r="E569"/>
      <c r="F569"/>
      <c r="G569"/>
      <c r="H569"/>
    </row>
    <row r="570" spans="1:8" s="10" customFormat="1" ht="14.25" customHeight="1" x14ac:dyDescent="0.25">
      <c r="A570"/>
      <c r="B570"/>
      <c r="C570"/>
      <c r="D570" s="13"/>
      <c r="E570"/>
      <c r="F570"/>
      <c r="G570"/>
      <c r="H570"/>
    </row>
    <row r="571" spans="1:8" s="10" customFormat="1" ht="14.25" customHeight="1" x14ac:dyDescent="0.25">
      <c r="A571"/>
      <c r="B571"/>
      <c r="C571"/>
      <c r="D571" s="13"/>
      <c r="E571"/>
      <c r="F571"/>
      <c r="G571"/>
      <c r="H571"/>
    </row>
    <row r="572" spans="1:8" s="10" customFormat="1" ht="14.25" customHeight="1" x14ac:dyDescent="0.25">
      <c r="A572"/>
      <c r="B572"/>
      <c r="C572"/>
      <c r="D572" s="13"/>
      <c r="E572"/>
      <c r="F572"/>
      <c r="G572"/>
      <c r="H572"/>
    </row>
    <row r="573" spans="1:8" s="10" customFormat="1" ht="14.25" customHeight="1" x14ac:dyDescent="0.25">
      <c r="A573"/>
      <c r="B573"/>
      <c r="C573"/>
      <c r="D573" s="13"/>
      <c r="E573"/>
      <c r="F573"/>
      <c r="G573"/>
      <c r="H573"/>
    </row>
    <row r="574" spans="1:8" s="10" customFormat="1" ht="14.25" customHeight="1" x14ac:dyDescent="0.25">
      <c r="A574"/>
      <c r="B574"/>
      <c r="C574"/>
      <c r="D574" s="13"/>
      <c r="E574"/>
      <c r="F574"/>
      <c r="G574"/>
      <c r="H574"/>
    </row>
    <row r="575" spans="1:8" s="10" customFormat="1" ht="14.25" customHeight="1" x14ac:dyDescent="0.25">
      <c r="A575"/>
      <c r="B575"/>
      <c r="C575"/>
      <c r="D575" s="13"/>
      <c r="E575"/>
      <c r="F575"/>
      <c r="G575"/>
      <c r="H575"/>
    </row>
    <row r="576" spans="1:8" s="10" customFormat="1" ht="14.25" customHeight="1" x14ac:dyDescent="0.25">
      <c r="A576"/>
      <c r="B576"/>
      <c r="C576"/>
      <c r="D576" s="13"/>
      <c r="E576"/>
      <c r="F576"/>
      <c r="G576"/>
      <c r="H576"/>
    </row>
    <row r="577" spans="1:8" s="10" customFormat="1" ht="14.25" customHeight="1" x14ac:dyDescent="0.25">
      <c r="A577"/>
      <c r="B577"/>
      <c r="C577"/>
      <c r="D577" s="13"/>
      <c r="E577"/>
      <c r="F577"/>
      <c r="G577"/>
      <c r="H577"/>
    </row>
    <row r="578" spans="1:8" s="10" customFormat="1" ht="14.25" customHeight="1" x14ac:dyDescent="0.25">
      <c r="A578"/>
      <c r="B578"/>
      <c r="C578"/>
      <c r="D578" s="13"/>
      <c r="E578"/>
      <c r="F578"/>
      <c r="G578"/>
      <c r="H578"/>
    </row>
    <row r="579" spans="1:8" s="10" customFormat="1" ht="14.25" customHeight="1" x14ac:dyDescent="0.25">
      <c r="A579"/>
      <c r="B579"/>
      <c r="C579"/>
      <c r="D579" s="13"/>
      <c r="E579"/>
      <c r="F579"/>
      <c r="G579"/>
      <c r="H579"/>
    </row>
    <row r="580" spans="1:8" s="10" customFormat="1" ht="14.25" customHeight="1" x14ac:dyDescent="0.25">
      <c r="A580"/>
      <c r="B580"/>
      <c r="C580"/>
      <c r="D580" s="13"/>
      <c r="E580"/>
      <c r="F580"/>
      <c r="G580"/>
      <c r="H580"/>
    </row>
    <row r="581" spans="1:8" s="10" customFormat="1" ht="14.25" customHeight="1" x14ac:dyDescent="0.25">
      <c r="A581"/>
      <c r="B581"/>
      <c r="C581"/>
      <c r="D581" s="13"/>
      <c r="E581"/>
      <c r="F581"/>
      <c r="G581"/>
      <c r="H581"/>
    </row>
    <row r="582" spans="1:8" s="10" customFormat="1" ht="14.25" customHeight="1" x14ac:dyDescent="0.25">
      <c r="A582"/>
      <c r="B582"/>
      <c r="C582"/>
      <c r="D582" s="13"/>
      <c r="E582"/>
      <c r="F582"/>
      <c r="G582"/>
      <c r="H582"/>
    </row>
    <row r="583" spans="1:8" s="10" customFormat="1" ht="14.25" customHeight="1" x14ac:dyDescent="0.25">
      <c r="A583"/>
      <c r="B583"/>
      <c r="C583"/>
      <c r="D583" s="13"/>
      <c r="E583"/>
      <c r="F583"/>
      <c r="G583"/>
      <c r="H583"/>
    </row>
    <row r="584" spans="1:8" s="10" customFormat="1" ht="14.25" customHeight="1" x14ac:dyDescent="0.25">
      <c r="A584"/>
      <c r="B584"/>
      <c r="C584"/>
      <c r="D584" s="13"/>
      <c r="E584"/>
      <c r="F584"/>
      <c r="G584"/>
      <c r="H584"/>
    </row>
    <row r="585" spans="1:8" s="10" customFormat="1" ht="14.25" customHeight="1" x14ac:dyDescent="0.25">
      <c r="A585"/>
      <c r="B585"/>
      <c r="C585"/>
      <c r="D585" s="13"/>
      <c r="E585"/>
      <c r="F585"/>
      <c r="G585"/>
      <c r="H585"/>
    </row>
    <row r="586" spans="1:8" s="10" customFormat="1" ht="14.25" customHeight="1" x14ac:dyDescent="0.25">
      <c r="A586"/>
      <c r="B586"/>
      <c r="C586"/>
      <c r="D586" s="13"/>
      <c r="E586"/>
      <c r="F586"/>
      <c r="G586"/>
      <c r="H586"/>
    </row>
    <row r="587" spans="1:8" s="10" customFormat="1" ht="14.25" customHeight="1" x14ac:dyDescent="0.25">
      <c r="A587"/>
      <c r="B587"/>
      <c r="C587"/>
      <c r="D587" s="13"/>
      <c r="E587"/>
      <c r="F587"/>
      <c r="G587"/>
      <c r="H587"/>
    </row>
    <row r="588" spans="1:8" s="10" customFormat="1" ht="14.25" customHeight="1" x14ac:dyDescent="0.25">
      <c r="A588"/>
      <c r="B588"/>
      <c r="C588"/>
      <c r="D588" s="13"/>
      <c r="E588"/>
      <c r="F588"/>
      <c r="G588"/>
      <c r="H588"/>
    </row>
    <row r="589" spans="1:8" s="10" customFormat="1" ht="14.25" customHeight="1" x14ac:dyDescent="0.25">
      <c r="A589"/>
      <c r="B589"/>
      <c r="C589"/>
      <c r="D589" s="13"/>
      <c r="E589"/>
      <c r="F589"/>
      <c r="G589"/>
      <c r="H589"/>
    </row>
    <row r="590" spans="1:8" s="10" customFormat="1" ht="14.25" customHeight="1" x14ac:dyDescent="0.25">
      <c r="A590"/>
      <c r="B590"/>
      <c r="C590"/>
      <c r="D590" s="13"/>
      <c r="E590"/>
      <c r="F590"/>
      <c r="G590"/>
      <c r="H590"/>
    </row>
    <row r="591" spans="1:8" s="10" customFormat="1" ht="14.25" customHeight="1" x14ac:dyDescent="0.25">
      <c r="A591"/>
      <c r="B591"/>
      <c r="C591"/>
      <c r="D591" s="13"/>
      <c r="E591"/>
      <c r="F591"/>
      <c r="G591"/>
      <c r="H591"/>
    </row>
    <row r="592" spans="1:8" s="10" customFormat="1" ht="14.25" customHeight="1" x14ac:dyDescent="0.25">
      <c r="A592"/>
      <c r="B592"/>
      <c r="C592"/>
      <c r="D592" s="13"/>
      <c r="E592"/>
      <c r="F592"/>
      <c r="G592"/>
      <c r="H592"/>
    </row>
    <row r="593" spans="1:8" s="10" customFormat="1" ht="14.25" customHeight="1" x14ac:dyDescent="0.25">
      <c r="A593"/>
      <c r="B593"/>
      <c r="C593"/>
      <c r="D593" s="13"/>
      <c r="E593"/>
      <c r="F593"/>
      <c r="G593"/>
      <c r="H593"/>
    </row>
    <row r="594" spans="1:8" s="10" customFormat="1" ht="14.25" customHeight="1" x14ac:dyDescent="0.25">
      <c r="A594"/>
      <c r="B594"/>
      <c r="C594"/>
      <c r="D594" s="13"/>
      <c r="E594"/>
      <c r="F594"/>
      <c r="G594"/>
      <c r="H594"/>
    </row>
    <row r="595" spans="1:8" s="10" customFormat="1" ht="14.25" customHeight="1" x14ac:dyDescent="0.25">
      <c r="A595"/>
      <c r="B595"/>
      <c r="C595"/>
      <c r="D595" s="13"/>
      <c r="E595"/>
      <c r="F595"/>
      <c r="G595"/>
      <c r="H595"/>
    </row>
    <row r="596" spans="1:8" s="10" customFormat="1" ht="14.25" customHeight="1" x14ac:dyDescent="0.25">
      <c r="A596"/>
      <c r="B596"/>
      <c r="C596"/>
      <c r="D596" s="13"/>
      <c r="E596"/>
      <c r="F596"/>
      <c r="G596"/>
      <c r="H596"/>
    </row>
    <row r="597" spans="1:8" s="10" customFormat="1" ht="14.25" customHeight="1" x14ac:dyDescent="0.25">
      <c r="A597"/>
      <c r="B597"/>
      <c r="C597"/>
      <c r="D597" s="13"/>
      <c r="E597"/>
      <c r="F597"/>
      <c r="G597"/>
      <c r="H597"/>
    </row>
    <row r="598" spans="1:8" s="10" customFormat="1" ht="14.25" customHeight="1" x14ac:dyDescent="0.25">
      <c r="A598"/>
      <c r="B598"/>
      <c r="C598"/>
      <c r="D598" s="13"/>
      <c r="E598"/>
      <c r="F598"/>
      <c r="G598"/>
      <c r="H598"/>
    </row>
    <row r="599" spans="1:8" s="10" customFormat="1" ht="14.25" customHeight="1" x14ac:dyDescent="0.25">
      <c r="A599"/>
      <c r="B599"/>
      <c r="C599"/>
      <c r="D599" s="13"/>
      <c r="E599"/>
      <c r="F599"/>
      <c r="G599"/>
      <c r="H599"/>
    </row>
    <row r="600" spans="1:8" s="10" customFormat="1" ht="14.25" customHeight="1" x14ac:dyDescent="0.25">
      <c r="A600"/>
      <c r="B600"/>
      <c r="C600"/>
      <c r="D600" s="13"/>
      <c r="E600"/>
      <c r="F600"/>
      <c r="G600"/>
      <c r="H600"/>
    </row>
    <row r="601" spans="1:8" s="10" customFormat="1" ht="14.25" customHeight="1" x14ac:dyDescent="0.25">
      <c r="A601"/>
      <c r="B601"/>
      <c r="C601"/>
      <c r="D601" s="13"/>
      <c r="E601"/>
      <c r="F601"/>
      <c r="G601"/>
      <c r="H601"/>
    </row>
    <row r="602" spans="1:8" s="10" customFormat="1" ht="14.25" customHeight="1" x14ac:dyDescent="0.25">
      <c r="A602"/>
      <c r="B602"/>
      <c r="C602"/>
      <c r="D602" s="13"/>
      <c r="E602"/>
      <c r="F602"/>
      <c r="G602"/>
      <c r="H602"/>
    </row>
    <row r="603" spans="1:8" s="10" customFormat="1" ht="14.25" customHeight="1" x14ac:dyDescent="0.25">
      <c r="A603"/>
      <c r="B603"/>
      <c r="C603"/>
      <c r="D603" s="13"/>
      <c r="E603"/>
      <c r="F603"/>
      <c r="G603"/>
      <c r="H603"/>
    </row>
    <row r="604" spans="1:8" s="10" customFormat="1" ht="14.25" customHeight="1" x14ac:dyDescent="0.25">
      <c r="A604"/>
      <c r="B604"/>
      <c r="C604"/>
      <c r="D604" s="13"/>
      <c r="E604"/>
      <c r="F604"/>
      <c r="G604"/>
      <c r="H604"/>
    </row>
    <row r="605" spans="1:8" s="10" customFormat="1" ht="14.25" customHeight="1" x14ac:dyDescent="0.25">
      <c r="A605"/>
      <c r="B605"/>
      <c r="C605"/>
      <c r="D605" s="13"/>
      <c r="E605"/>
      <c r="F605"/>
      <c r="G605"/>
      <c r="H605"/>
    </row>
    <row r="606" spans="1:8" s="10" customFormat="1" ht="14.25" customHeight="1" x14ac:dyDescent="0.25">
      <c r="A606"/>
      <c r="B606"/>
      <c r="C606"/>
      <c r="D606" s="13"/>
      <c r="E606"/>
      <c r="F606"/>
      <c r="G606"/>
      <c r="H606"/>
    </row>
    <row r="607" spans="1:8" s="10" customFormat="1" ht="14.25" customHeight="1" x14ac:dyDescent="0.25">
      <c r="A607"/>
      <c r="B607"/>
      <c r="C607"/>
      <c r="D607" s="13"/>
      <c r="E607"/>
      <c r="F607"/>
      <c r="G607"/>
      <c r="H607"/>
    </row>
    <row r="608" spans="1:8" s="10" customFormat="1" ht="14.25" customHeight="1" x14ac:dyDescent="0.25">
      <c r="A608"/>
      <c r="B608"/>
      <c r="C608"/>
      <c r="D608" s="13"/>
      <c r="E608"/>
      <c r="F608"/>
      <c r="G608"/>
      <c r="H608"/>
    </row>
    <row r="609" spans="1:8" s="10" customFormat="1" ht="14.25" customHeight="1" x14ac:dyDescent="0.25">
      <c r="A609"/>
      <c r="B609"/>
      <c r="C609"/>
      <c r="D609" s="13"/>
      <c r="E609"/>
      <c r="F609"/>
      <c r="G609"/>
      <c r="H609"/>
    </row>
    <row r="610" spans="1:8" s="10" customFormat="1" ht="14.25" customHeight="1" x14ac:dyDescent="0.25">
      <c r="A610"/>
      <c r="B610"/>
      <c r="C610"/>
      <c r="D610" s="13"/>
      <c r="E610"/>
      <c r="F610"/>
      <c r="G610"/>
      <c r="H610"/>
    </row>
    <row r="611" spans="1:8" s="10" customFormat="1" ht="14.25" customHeight="1" x14ac:dyDescent="0.25">
      <c r="A611"/>
      <c r="B611"/>
      <c r="C611"/>
      <c r="D611" s="13"/>
      <c r="E611"/>
      <c r="F611"/>
      <c r="G611"/>
      <c r="H611"/>
    </row>
    <row r="612" spans="1:8" s="10" customFormat="1" ht="14.25" customHeight="1" x14ac:dyDescent="0.25">
      <c r="A612"/>
      <c r="B612"/>
      <c r="C612"/>
      <c r="D612" s="13"/>
      <c r="E612"/>
      <c r="F612"/>
      <c r="G612"/>
      <c r="H612"/>
    </row>
    <row r="613" spans="1:8" s="10" customFormat="1" ht="14.25" customHeight="1" x14ac:dyDescent="0.25">
      <c r="A613"/>
      <c r="B613"/>
      <c r="C613"/>
      <c r="D613" s="13"/>
      <c r="E613"/>
      <c r="F613"/>
      <c r="G613"/>
      <c r="H613"/>
    </row>
    <row r="614" spans="1:8" s="10" customFormat="1" ht="14.25" customHeight="1" x14ac:dyDescent="0.25">
      <c r="A614"/>
      <c r="B614"/>
      <c r="C614"/>
      <c r="D614" s="13"/>
      <c r="E614"/>
      <c r="F614"/>
      <c r="G614"/>
      <c r="H614"/>
    </row>
    <row r="615" spans="1:8" s="10" customFormat="1" ht="14.25" customHeight="1" x14ac:dyDescent="0.25">
      <c r="A615"/>
      <c r="B615"/>
      <c r="C615"/>
      <c r="D615" s="13"/>
      <c r="E615"/>
      <c r="F615"/>
      <c r="G615"/>
      <c r="H615"/>
    </row>
    <row r="616" spans="1:8" s="10" customFormat="1" ht="14.25" customHeight="1" x14ac:dyDescent="0.25">
      <c r="A616"/>
      <c r="B616"/>
      <c r="C616"/>
      <c r="D616" s="13"/>
      <c r="E616"/>
      <c r="F616"/>
      <c r="G616"/>
      <c r="H616"/>
    </row>
    <row r="617" spans="1:8" s="10" customFormat="1" ht="14.25" customHeight="1" x14ac:dyDescent="0.25">
      <c r="A617"/>
      <c r="B617"/>
      <c r="C617"/>
      <c r="D617" s="13"/>
      <c r="E617"/>
      <c r="F617"/>
      <c r="G617"/>
      <c r="H617"/>
    </row>
    <row r="618" spans="1:8" s="10" customFormat="1" ht="14.25" customHeight="1" x14ac:dyDescent="0.25">
      <c r="A618"/>
      <c r="B618"/>
      <c r="C618"/>
      <c r="D618" s="13"/>
      <c r="E618"/>
      <c r="F618"/>
      <c r="G618"/>
      <c r="H618"/>
    </row>
    <row r="619" spans="1:8" s="10" customFormat="1" ht="14.25" customHeight="1" x14ac:dyDescent="0.25">
      <c r="A619"/>
      <c r="B619"/>
      <c r="C619"/>
      <c r="D619" s="13"/>
      <c r="E619"/>
      <c r="F619"/>
      <c r="G619"/>
      <c r="H619"/>
    </row>
    <row r="620" spans="1:8" s="10" customFormat="1" ht="14.25" customHeight="1" x14ac:dyDescent="0.25">
      <c r="A620"/>
      <c r="B620"/>
      <c r="C620"/>
      <c r="D620" s="13"/>
      <c r="E620"/>
      <c r="F620"/>
      <c r="G620"/>
      <c r="H620"/>
    </row>
    <row r="621" spans="1:8" s="10" customFormat="1" ht="14.25" customHeight="1" x14ac:dyDescent="0.25">
      <c r="A621"/>
      <c r="B621"/>
      <c r="C621"/>
      <c r="D621" s="13"/>
      <c r="E621"/>
      <c r="F621"/>
      <c r="G621"/>
      <c r="H621"/>
    </row>
    <row r="622" spans="1:8" s="10" customFormat="1" ht="14.25" customHeight="1" x14ac:dyDescent="0.25">
      <c r="A622"/>
      <c r="B622"/>
      <c r="C622"/>
      <c r="D622" s="13"/>
      <c r="E622"/>
      <c r="F622"/>
      <c r="G622"/>
      <c r="H622"/>
    </row>
    <row r="623" spans="1:8" s="10" customFormat="1" ht="14.25" customHeight="1" x14ac:dyDescent="0.25">
      <c r="A623"/>
      <c r="B623"/>
      <c r="C623"/>
      <c r="D623" s="13"/>
      <c r="E623"/>
      <c r="F623"/>
      <c r="G623"/>
      <c r="H623"/>
    </row>
    <row r="624" spans="1:8" s="10" customFormat="1" ht="14.25" customHeight="1" x14ac:dyDescent="0.25">
      <c r="A624"/>
      <c r="B624"/>
      <c r="C624"/>
      <c r="D624" s="13"/>
      <c r="E624"/>
      <c r="F624"/>
      <c r="G624"/>
      <c r="H624"/>
    </row>
    <row r="625" spans="1:8" s="10" customFormat="1" ht="14.25" customHeight="1" x14ac:dyDescent="0.25">
      <c r="A625"/>
      <c r="B625"/>
      <c r="C625"/>
      <c r="D625" s="13"/>
      <c r="E625"/>
      <c r="F625"/>
      <c r="G625"/>
      <c r="H625"/>
    </row>
    <row r="626" spans="1:8" s="10" customFormat="1" ht="14.25" customHeight="1" x14ac:dyDescent="0.25">
      <c r="A626"/>
      <c r="B626"/>
      <c r="C626"/>
      <c r="D626" s="13"/>
      <c r="E626"/>
      <c r="F626"/>
      <c r="G626"/>
      <c r="H626"/>
    </row>
    <row r="627" spans="1:8" s="10" customFormat="1" ht="14.25" customHeight="1" x14ac:dyDescent="0.25">
      <c r="A627"/>
      <c r="B627"/>
      <c r="C627"/>
      <c r="D627" s="13"/>
      <c r="E627"/>
      <c r="F627"/>
      <c r="G627"/>
      <c r="H627"/>
    </row>
    <row r="628" spans="1:8" s="10" customFormat="1" ht="14.25" customHeight="1" x14ac:dyDescent="0.25">
      <c r="A628"/>
      <c r="B628"/>
      <c r="C628"/>
      <c r="D628" s="13"/>
      <c r="E628"/>
      <c r="F628"/>
      <c r="G628"/>
      <c r="H628"/>
    </row>
    <row r="629" spans="1:8" s="10" customFormat="1" ht="14.25" customHeight="1" x14ac:dyDescent="0.25">
      <c r="A629"/>
      <c r="B629"/>
      <c r="C629"/>
      <c r="D629" s="13"/>
      <c r="E629"/>
      <c r="F629"/>
      <c r="G629"/>
      <c r="H629"/>
    </row>
    <row r="630" spans="1:8" s="10" customFormat="1" ht="14.25" customHeight="1" x14ac:dyDescent="0.25">
      <c r="A630"/>
      <c r="B630"/>
      <c r="C630"/>
      <c r="D630" s="13"/>
      <c r="E630"/>
      <c r="F630"/>
      <c r="G630"/>
      <c r="H630"/>
    </row>
    <row r="631" spans="1:8" s="10" customFormat="1" ht="14.25" customHeight="1" x14ac:dyDescent="0.25">
      <c r="A631"/>
      <c r="B631"/>
      <c r="C631"/>
      <c r="D631" s="13"/>
      <c r="E631"/>
      <c r="F631"/>
      <c r="G631"/>
      <c r="H631"/>
    </row>
    <row r="632" spans="1:8" s="10" customFormat="1" ht="14.25" customHeight="1" x14ac:dyDescent="0.25">
      <c r="A632"/>
      <c r="B632"/>
      <c r="C632"/>
      <c r="D632" s="13"/>
      <c r="E632"/>
      <c r="F632"/>
      <c r="G632"/>
      <c r="H632"/>
    </row>
    <row r="633" spans="1:8" s="10" customFormat="1" ht="14.25" customHeight="1" x14ac:dyDescent="0.25">
      <c r="A633"/>
      <c r="B633"/>
      <c r="C633"/>
      <c r="D633" s="13"/>
      <c r="E633"/>
      <c r="F633"/>
      <c r="G633"/>
      <c r="H633"/>
    </row>
    <row r="634" spans="1:8" s="10" customFormat="1" ht="14.25" customHeight="1" x14ac:dyDescent="0.25">
      <c r="A634"/>
      <c r="B634"/>
      <c r="C634"/>
      <c r="D634" s="13"/>
      <c r="E634"/>
      <c r="F634"/>
      <c r="G634"/>
      <c r="H634"/>
    </row>
    <row r="635" spans="1:8" s="10" customFormat="1" ht="14.25" customHeight="1" x14ac:dyDescent="0.25">
      <c r="A635"/>
      <c r="B635"/>
      <c r="C635"/>
      <c r="D635" s="13"/>
      <c r="E635"/>
      <c r="F635"/>
      <c r="G635"/>
      <c r="H635"/>
    </row>
    <row r="636" spans="1:8" s="10" customFormat="1" ht="14.25" customHeight="1" x14ac:dyDescent="0.25">
      <c r="A636"/>
      <c r="B636"/>
      <c r="C636"/>
      <c r="D636" s="13"/>
      <c r="E636"/>
      <c r="F636"/>
      <c r="G636"/>
      <c r="H636"/>
    </row>
    <row r="637" spans="1:8" s="10" customFormat="1" ht="14.25" customHeight="1" x14ac:dyDescent="0.25">
      <c r="A637"/>
      <c r="B637"/>
      <c r="C637"/>
      <c r="D637" s="13"/>
      <c r="E637"/>
      <c r="F637"/>
      <c r="G637"/>
      <c r="H637"/>
    </row>
    <row r="638" spans="1:8" s="10" customFormat="1" ht="14.25" customHeight="1" x14ac:dyDescent="0.25">
      <c r="A638"/>
      <c r="B638"/>
      <c r="C638"/>
      <c r="D638" s="13"/>
      <c r="E638"/>
      <c r="F638"/>
      <c r="G638"/>
      <c r="H638"/>
    </row>
    <row r="639" spans="1:8" s="10" customFormat="1" ht="14.25" customHeight="1" x14ac:dyDescent="0.25">
      <c r="A639"/>
      <c r="B639"/>
      <c r="C639"/>
      <c r="D639" s="13"/>
      <c r="E639"/>
      <c r="F639"/>
      <c r="G639"/>
      <c r="H639"/>
    </row>
    <row r="640" spans="1:8" s="10" customFormat="1" ht="14.25" customHeight="1" x14ac:dyDescent="0.25">
      <c r="A640"/>
      <c r="B640"/>
      <c r="C640"/>
      <c r="D640" s="13"/>
      <c r="E640"/>
      <c r="F640"/>
      <c r="G640"/>
      <c r="H640"/>
    </row>
    <row r="641" spans="1:8" s="10" customFormat="1" ht="14.25" customHeight="1" x14ac:dyDescent="0.25">
      <c r="A641"/>
      <c r="B641"/>
      <c r="C641"/>
      <c r="D641" s="13"/>
      <c r="E641"/>
      <c r="F641"/>
      <c r="G641"/>
      <c r="H641"/>
    </row>
    <row r="642" spans="1:8" s="10" customFormat="1" ht="14.25" customHeight="1" x14ac:dyDescent="0.25">
      <c r="A642"/>
      <c r="B642"/>
      <c r="C642"/>
      <c r="D642" s="13"/>
      <c r="E642"/>
      <c r="F642"/>
      <c r="G642"/>
      <c r="H642"/>
    </row>
    <row r="643" spans="1:8" s="10" customFormat="1" ht="14.25" customHeight="1" x14ac:dyDescent="0.25">
      <c r="A643"/>
      <c r="B643"/>
      <c r="C643"/>
      <c r="D643" s="13"/>
      <c r="E643"/>
      <c r="F643"/>
      <c r="G643"/>
      <c r="H643"/>
    </row>
    <row r="644" spans="1:8" s="10" customFormat="1" ht="14.25" customHeight="1" x14ac:dyDescent="0.25">
      <c r="A644"/>
      <c r="B644"/>
      <c r="C644"/>
      <c r="D644" s="13"/>
      <c r="E644"/>
      <c r="F644"/>
      <c r="G644"/>
      <c r="H644"/>
    </row>
    <row r="645" spans="1:8" s="10" customFormat="1" ht="14.25" customHeight="1" x14ac:dyDescent="0.25">
      <c r="A645"/>
      <c r="B645"/>
      <c r="C645"/>
      <c r="D645" s="13"/>
      <c r="E645"/>
      <c r="F645"/>
      <c r="G645"/>
      <c r="H645"/>
    </row>
    <row r="646" spans="1:8" s="10" customFormat="1" ht="14.25" customHeight="1" x14ac:dyDescent="0.25">
      <c r="A646"/>
      <c r="B646"/>
      <c r="C646"/>
      <c r="D646" s="13"/>
      <c r="E646"/>
      <c r="F646"/>
      <c r="G646"/>
      <c r="H646"/>
    </row>
    <row r="647" spans="1:8" s="10" customFormat="1" ht="14.25" customHeight="1" x14ac:dyDescent="0.25">
      <c r="A647"/>
      <c r="B647"/>
      <c r="C647"/>
      <c r="D647" s="13"/>
      <c r="E647"/>
      <c r="F647"/>
      <c r="G647"/>
      <c r="H647"/>
    </row>
    <row r="648" spans="1:8" s="10" customFormat="1" ht="14.25" customHeight="1" x14ac:dyDescent="0.25">
      <c r="A648"/>
      <c r="B648"/>
      <c r="C648"/>
      <c r="D648" s="13"/>
      <c r="E648"/>
      <c r="F648"/>
      <c r="G648"/>
      <c r="H648"/>
    </row>
    <row r="649" spans="1:8" s="10" customFormat="1" ht="14.25" customHeight="1" x14ac:dyDescent="0.25">
      <c r="A649"/>
      <c r="B649"/>
      <c r="C649"/>
      <c r="D649" s="13"/>
      <c r="E649"/>
      <c r="F649"/>
      <c r="G649"/>
      <c r="H649"/>
    </row>
    <row r="650" spans="1:8" s="10" customFormat="1" ht="14.25" customHeight="1" x14ac:dyDescent="0.25">
      <c r="A650"/>
      <c r="B650"/>
      <c r="C650"/>
      <c r="D650" s="13"/>
      <c r="E650"/>
      <c r="F650"/>
      <c r="G650"/>
      <c r="H650"/>
    </row>
    <row r="651" spans="1:8" s="10" customFormat="1" ht="14.25" customHeight="1" x14ac:dyDescent="0.25">
      <c r="A651"/>
      <c r="B651"/>
      <c r="C651"/>
      <c r="D651" s="13"/>
      <c r="E651"/>
      <c r="F651"/>
      <c r="G651"/>
      <c r="H651"/>
    </row>
    <row r="652" spans="1:8" s="10" customFormat="1" ht="14.25" customHeight="1" x14ac:dyDescent="0.25">
      <c r="A652"/>
      <c r="B652"/>
      <c r="C652"/>
      <c r="D652" s="13"/>
      <c r="E652"/>
      <c r="F652"/>
      <c r="G652"/>
      <c r="H652"/>
    </row>
    <row r="653" spans="1:8" s="10" customFormat="1" ht="14.25" customHeight="1" x14ac:dyDescent="0.25">
      <c r="A653"/>
      <c r="B653"/>
      <c r="C653"/>
      <c r="D653" s="13"/>
      <c r="E653"/>
      <c r="F653"/>
      <c r="G653"/>
      <c r="H653"/>
    </row>
    <row r="654" spans="1:8" s="10" customFormat="1" ht="14.25" customHeight="1" x14ac:dyDescent="0.25">
      <c r="A654"/>
      <c r="B654"/>
      <c r="C654"/>
      <c r="D654" s="13"/>
      <c r="E654"/>
      <c r="F654"/>
      <c r="G654"/>
      <c r="H654"/>
    </row>
    <row r="655" spans="1:8" s="10" customFormat="1" ht="14.25" customHeight="1" x14ac:dyDescent="0.25">
      <c r="A655"/>
      <c r="B655"/>
      <c r="C655"/>
      <c r="D655" s="13"/>
      <c r="E655"/>
      <c r="F655"/>
      <c r="G655"/>
      <c r="H655"/>
    </row>
    <row r="656" spans="1:8" s="10" customFormat="1" ht="14.25" customHeight="1" x14ac:dyDescent="0.25">
      <c r="A656"/>
      <c r="B656"/>
      <c r="C656"/>
      <c r="D656" s="13"/>
      <c r="E656"/>
      <c r="F656"/>
      <c r="G656"/>
      <c r="H656"/>
    </row>
    <row r="657" spans="1:8" s="10" customFormat="1" ht="14.25" customHeight="1" x14ac:dyDescent="0.25">
      <c r="A657"/>
      <c r="B657"/>
      <c r="C657"/>
      <c r="D657" s="13"/>
      <c r="E657"/>
      <c r="F657"/>
      <c r="G657"/>
      <c r="H657"/>
    </row>
    <row r="658" spans="1:8" s="10" customFormat="1" ht="14.25" customHeight="1" x14ac:dyDescent="0.25">
      <c r="A658"/>
      <c r="B658"/>
      <c r="C658"/>
      <c r="D658" s="13"/>
      <c r="E658"/>
      <c r="F658"/>
      <c r="G658"/>
      <c r="H658"/>
    </row>
    <row r="659" spans="1:8" s="10" customFormat="1" ht="14.25" customHeight="1" x14ac:dyDescent="0.25">
      <c r="A659"/>
      <c r="B659"/>
      <c r="C659"/>
      <c r="D659" s="13"/>
      <c r="E659"/>
      <c r="F659"/>
      <c r="G659"/>
      <c r="H659"/>
    </row>
    <row r="660" spans="1:8" s="10" customFormat="1" ht="14.25" customHeight="1" x14ac:dyDescent="0.25">
      <c r="A660"/>
      <c r="B660"/>
      <c r="C660"/>
      <c r="D660" s="13"/>
      <c r="E660"/>
      <c r="F660"/>
      <c r="G660"/>
      <c r="H660"/>
    </row>
    <row r="661" spans="1:8" s="10" customFormat="1" ht="14.25" customHeight="1" x14ac:dyDescent="0.25">
      <c r="A661"/>
      <c r="B661"/>
      <c r="C661"/>
      <c r="D661" s="13"/>
      <c r="E661"/>
      <c r="F661"/>
      <c r="G661"/>
      <c r="H661"/>
    </row>
    <row r="662" spans="1:8" s="10" customFormat="1" ht="14.25" customHeight="1" x14ac:dyDescent="0.25">
      <c r="A662"/>
      <c r="B662"/>
      <c r="C662"/>
      <c r="D662" s="13"/>
      <c r="E662"/>
      <c r="F662"/>
      <c r="G662"/>
      <c r="H662"/>
    </row>
    <row r="663" spans="1:8" s="10" customFormat="1" ht="14.25" customHeight="1" x14ac:dyDescent="0.25">
      <c r="A663"/>
      <c r="B663"/>
      <c r="C663"/>
      <c r="D663" s="13"/>
      <c r="E663"/>
      <c r="F663"/>
      <c r="G663"/>
      <c r="H663"/>
    </row>
    <row r="664" spans="1:8" s="10" customFormat="1" ht="14.25" customHeight="1" x14ac:dyDescent="0.25">
      <c r="A664"/>
      <c r="B664"/>
      <c r="C664"/>
      <c r="D664" s="13"/>
      <c r="E664"/>
      <c r="F664"/>
      <c r="G664"/>
      <c r="H664"/>
    </row>
    <row r="665" spans="1:8" s="10" customFormat="1" ht="14.25" customHeight="1" x14ac:dyDescent="0.25">
      <c r="A665"/>
      <c r="B665"/>
      <c r="C665"/>
      <c r="D665" s="13"/>
      <c r="E665"/>
      <c r="F665"/>
      <c r="G665"/>
      <c r="H665"/>
    </row>
    <row r="666" spans="1:8" s="10" customFormat="1" ht="14.25" customHeight="1" x14ac:dyDescent="0.25">
      <c r="A666"/>
      <c r="B666"/>
      <c r="C666"/>
      <c r="D666" s="13"/>
      <c r="E666"/>
      <c r="F666"/>
      <c r="G666"/>
      <c r="H666"/>
    </row>
    <row r="667" spans="1:8" s="10" customFormat="1" ht="14.25" customHeight="1" x14ac:dyDescent="0.25">
      <c r="A667"/>
      <c r="B667"/>
      <c r="C667"/>
      <c r="D667" s="13"/>
      <c r="E667"/>
      <c r="F667"/>
      <c r="G667"/>
      <c r="H667"/>
    </row>
    <row r="668" spans="1:8" s="10" customFormat="1" ht="14.25" customHeight="1" x14ac:dyDescent="0.25">
      <c r="A668"/>
      <c r="B668"/>
      <c r="C668"/>
      <c r="D668" s="13"/>
      <c r="E668"/>
      <c r="F668"/>
      <c r="G668"/>
      <c r="H668"/>
    </row>
    <row r="669" spans="1:8" s="10" customFormat="1" ht="14.25" customHeight="1" x14ac:dyDescent="0.25">
      <c r="A669"/>
      <c r="B669"/>
      <c r="C669"/>
      <c r="D669" s="13"/>
      <c r="E669"/>
      <c r="F669"/>
      <c r="G669"/>
      <c r="H669"/>
    </row>
    <row r="670" spans="1:8" s="10" customFormat="1" ht="14.25" customHeight="1" x14ac:dyDescent="0.25">
      <c r="A670"/>
      <c r="B670"/>
      <c r="C670"/>
      <c r="D670" s="13"/>
      <c r="E670"/>
      <c r="F670"/>
      <c r="G670"/>
      <c r="H670"/>
    </row>
    <row r="671" spans="1:8" s="10" customFormat="1" ht="14.25" customHeight="1" x14ac:dyDescent="0.25">
      <c r="A671"/>
      <c r="B671"/>
      <c r="C671"/>
      <c r="D671" s="13"/>
      <c r="E671"/>
      <c r="F671"/>
      <c r="G671"/>
      <c r="H671"/>
    </row>
    <row r="672" spans="1:8" s="10" customFormat="1" ht="14.25" customHeight="1" x14ac:dyDescent="0.25">
      <c r="A672"/>
      <c r="B672"/>
      <c r="C672"/>
      <c r="D672" s="13"/>
      <c r="E672"/>
      <c r="F672"/>
      <c r="G672"/>
      <c r="H672"/>
    </row>
    <row r="673" spans="1:8" s="10" customFormat="1" ht="14.25" customHeight="1" x14ac:dyDescent="0.25">
      <c r="A673"/>
      <c r="B673"/>
      <c r="C673"/>
      <c r="D673" s="13"/>
      <c r="E673"/>
      <c r="F673"/>
      <c r="G673"/>
      <c r="H673"/>
    </row>
    <row r="674" spans="1:8" s="10" customFormat="1" ht="14.25" customHeight="1" x14ac:dyDescent="0.25">
      <c r="A674"/>
      <c r="B674"/>
      <c r="C674"/>
      <c r="D674" s="13"/>
      <c r="E674"/>
      <c r="F674"/>
      <c r="G674"/>
      <c r="H674"/>
    </row>
    <row r="675" spans="1:8" s="10" customFormat="1" ht="14.25" customHeight="1" x14ac:dyDescent="0.25">
      <c r="A675"/>
      <c r="B675"/>
      <c r="C675"/>
      <c r="D675" s="13"/>
      <c r="E675"/>
      <c r="F675"/>
      <c r="G675"/>
      <c r="H675"/>
    </row>
    <row r="676" spans="1:8" s="10" customFormat="1" ht="14.25" customHeight="1" x14ac:dyDescent="0.25">
      <c r="A676"/>
      <c r="B676"/>
      <c r="C676"/>
      <c r="D676" s="13"/>
      <c r="E676"/>
      <c r="F676"/>
      <c r="G676"/>
      <c r="H676"/>
    </row>
    <row r="677" spans="1:8" s="10" customFormat="1" ht="14.25" customHeight="1" x14ac:dyDescent="0.25">
      <c r="A677"/>
      <c r="B677"/>
      <c r="C677"/>
      <c r="D677" s="13"/>
      <c r="E677"/>
      <c r="F677"/>
      <c r="G677"/>
      <c r="H677"/>
    </row>
    <row r="678" spans="1:8" s="10" customFormat="1" ht="14.25" customHeight="1" x14ac:dyDescent="0.25">
      <c r="A678"/>
      <c r="B678"/>
      <c r="C678"/>
      <c r="D678" s="13"/>
      <c r="E678"/>
      <c r="F678"/>
      <c r="G678"/>
      <c r="H678"/>
    </row>
    <row r="679" spans="1:8" s="10" customFormat="1" ht="14.25" customHeight="1" x14ac:dyDescent="0.25">
      <c r="A679"/>
      <c r="B679"/>
      <c r="C679"/>
      <c r="D679" s="13"/>
      <c r="E679"/>
      <c r="F679"/>
      <c r="G679"/>
      <c r="H679"/>
    </row>
    <row r="680" spans="1:8" s="10" customFormat="1" ht="14.25" customHeight="1" x14ac:dyDescent="0.25">
      <c r="A680"/>
      <c r="B680"/>
      <c r="C680"/>
      <c r="D680" s="13"/>
      <c r="E680"/>
      <c r="F680"/>
      <c r="G680"/>
      <c r="H680"/>
    </row>
    <row r="681" spans="1:8" s="10" customFormat="1" ht="14.25" customHeight="1" x14ac:dyDescent="0.25">
      <c r="A681"/>
      <c r="B681"/>
      <c r="C681"/>
      <c r="D681" s="13"/>
      <c r="E681"/>
      <c r="F681"/>
      <c r="G681"/>
      <c r="H681"/>
    </row>
    <row r="682" spans="1:8" s="10" customFormat="1" ht="14.25" customHeight="1" x14ac:dyDescent="0.25">
      <c r="A682"/>
      <c r="B682"/>
      <c r="C682"/>
      <c r="D682" s="13"/>
      <c r="E682"/>
      <c r="F682"/>
      <c r="G682"/>
      <c r="H682"/>
    </row>
    <row r="683" spans="1:8" s="10" customFormat="1" ht="14.25" customHeight="1" x14ac:dyDescent="0.25">
      <c r="A683"/>
      <c r="B683"/>
      <c r="C683"/>
      <c r="D683" s="13"/>
      <c r="E683"/>
      <c r="F683"/>
      <c r="G683"/>
      <c r="H683"/>
    </row>
    <row r="684" spans="1:8" s="10" customFormat="1" ht="14.25" customHeight="1" x14ac:dyDescent="0.25">
      <c r="A684"/>
      <c r="B684"/>
      <c r="C684"/>
      <c r="D684" s="13"/>
      <c r="E684"/>
      <c r="F684"/>
      <c r="G684"/>
      <c r="H684"/>
    </row>
    <row r="685" spans="1:8" s="10" customFormat="1" ht="14.25" customHeight="1" x14ac:dyDescent="0.25">
      <c r="A685"/>
      <c r="B685"/>
      <c r="C685"/>
      <c r="D685" s="13"/>
      <c r="E685"/>
      <c r="F685"/>
      <c r="G685"/>
      <c r="H685"/>
    </row>
    <row r="686" spans="1:8" s="10" customFormat="1" ht="14.25" customHeight="1" x14ac:dyDescent="0.25">
      <c r="A686"/>
      <c r="B686"/>
      <c r="C686"/>
      <c r="D686" s="13"/>
      <c r="E686"/>
      <c r="F686"/>
      <c r="G686"/>
      <c r="H686"/>
    </row>
    <row r="687" spans="1:8" s="10" customFormat="1" ht="14.25" customHeight="1" x14ac:dyDescent="0.25">
      <c r="A687"/>
      <c r="B687"/>
      <c r="C687"/>
      <c r="D687" s="13"/>
      <c r="E687"/>
      <c r="F687"/>
      <c r="G687"/>
      <c r="H687"/>
    </row>
    <row r="688" spans="1:8" s="10" customFormat="1" ht="14.25" customHeight="1" x14ac:dyDescent="0.25">
      <c r="A688"/>
      <c r="B688"/>
      <c r="C688"/>
      <c r="D688" s="13"/>
      <c r="E688"/>
      <c r="F688"/>
      <c r="G688"/>
      <c r="H688"/>
    </row>
    <row r="689" spans="1:8" s="10" customFormat="1" ht="14.25" customHeight="1" x14ac:dyDescent="0.25">
      <c r="A689"/>
      <c r="B689"/>
      <c r="C689"/>
      <c r="D689" s="13"/>
      <c r="E689"/>
      <c r="F689"/>
      <c r="G689"/>
      <c r="H689"/>
    </row>
    <row r="690" spans="1:8" s="10" customFormat="1" ht="14.25" customHeight="1" x14ac:dyDescent="0.25">
      <c r="A690"/>
      <c r="B690"/>
      <c r="C690"/>
      <c r="D690" s="13"/>
      <c r="E690"/>
      <c r="F690"/>
      <c r="G690"/>
      <c r="H690"/>
    </row>
    <row r="691" spans="1:8" s="10" customFormat="1" ht="14.25" customHeight="1" x14ac:dyDescent="0.25">
      <c r="A691"/>
      <c r="B691"/>
      <c r="C691"/>
      <c r="D691" s="13"/>
      <c r="E691"/>
      <c r="F691"/>
      <c r="G691"/>
      <c r="H691"/>
    </row>
    <row r="692" spans="1:8" s="10" customFormat="1" ht="14.25" customHeight="1" x14ac:dyDescent="0.25">
      <c r="A692"/>
      <c r="B692"/>
      <c r="C692"/>
      <c r="D692" s="13"/>
      <c r="E692"/>
      <c r="F692"/>
      <c r="G692"/>
      <c r="H692"/>
    </row>
    <row r="693" spans="1:8" s="10" customFormat="1" ht="14.25" customHeight="1" x14ac:dyDescent="0.25">
      <c r="A693"/>
      <c r="B693"/>
      <c r="C693"/>
      <c r="D693" s="13"/>
      <c r="E693"/>
      <c r="F693"/>
      <c r="G693"/>
      <c r="H693"/>
    </row>
    <row r="694" spans="1:8" s="10" customFormat="1" ht="14.25" customHeight="1" x14ac:dyDescent="0.25">
      <c r="A694"/>
      <c r="B694"/>
      <c r="C694"/>
      <c r="D694" s="13"/>
      <c r="E694"/>
      <c r="F694"/>
      <c r="G694"/>
      <c r="H694"/>
    </row>
    <row r="695" spans="1:8" s="10" customFormat="1" ht="14.25" customHeight="1" x14ac:dyDescent="0.25">
      <c r="A695"/>
      <c r="B695"/>
      <c r="C695"/>
      <c r="D695" s="13"/>
      <c r="E695"/>
      <c r="F695"/>
      <c r="G695"/>
      <c r="H695"/>
    </row>
    <row r="696" spans="1:8" s="10" customFormat="1" ht="14.25" customHeight="1" x14ac:dyDescent="0.25">
      <c r="A696"/>
      <c r="B696"/>
      <c r="C696"/>
      <c r="D696" s="13"/>
      <c r="E696"/>
      <c r="F696"/>
      <c r="G696"/>
      <c r="H696"/>
    </row>
    <row r="697" spans="1:8" s="10" customFormat="1" ht="14.25" customHeight="1" x14ac:dyDescent="0.25">
      <c r="A697"/>
      <c r="B697"/>
      <c r="C697"/>
      <c r="D697" s="13"/>
      <c r="E697"/>
      <c r="F697"/>
      <c r="G697"/>
      <c r="H697"/>
    </row>
    <row r="698" spans="1:8" s="10" customFormat="1" ht="14.25" customHeight="1" x14ac:dyDescent="0.25">
      <c r="A698"/>
      <c r="B698"/>
      <c r="C698"/>
      <c r="D698" s="13"/>
      <c r="E698"/>
      <c r="F698"/>
      <c r="G698"/>
      <c r="H698"/>
    </row>
    <row r="699" spans="1:8" s="10" customFormat="1" ht="14.25" customHeight="1" x14ac:dyDescent="0.25">
      <c r="A699"/>
      <c r="B699"/>
      <c r="C699"/>
      <c r="D699" s="13"/>
      <c r="E699"/>
      <c r="F699"/>
      <c r="G699"/>
      <c r="H699"/>
    </row>
    <row r="700" spans="1:8" s="10" customFormat="1" ht="14.25" customHeight="1" x14ac:dyDescent="0.25">
      <c r="A700"/>
      <c r="B700"/>
      <c r="C700"/>
      <c r="D700" s="13"/>
      <c r="E700"/>
      <c r="F700"/>
      <c r="G700"/>
      <c r="H700"/>
    </row>
    <row r="701" spans="1:8" s="10" customFormat="1" ht="14.25" customHeight="1" x14ac:dyDescent="0.25">
      <c r="A701"/>
      <c r="B701"/>
      <c r="C701"/>
      <c r="D701" s="13"/>
      <c r="E701"/>
      <c r="F701"/>
      <c r="G701"/>
      <c r="H701"/>
    </row>
    <row r="702" spans="1:8" s="10" customFormat="1" ht="14.25" customHeight="1" x14ac:dyDescent="0.25">
      <c r="A702"/>
      <c r="B702"/>
      <c r="C702"/>
      <c r="D702" s="13"/>
      <c r="E702"/>
      <c r="F702"/>
      <c r="G702"/>
      <c r="H702"/>
    </row>
    <row r="703" spans="1:8" s="10" customFormat="1" ht="14.25" customHeight="1" x14ac:dyDescent="0.25">
      <c r="A703"/>
      <c r="B703"/>
      <c r="C703"/>
      <c r="D703" s="13"/>
      <c r="E703"/>
      <c r="F703"/>
      <c r="G703"/>
      <c r="H703"/>
    </row>
    <row r="704" spans="1:8" s="10" customFormat="1" ht="14.25" customHeight="1" x14ac:dyDescent="0.25">
      <c r="A704"/>
      <c r="B704"/>
      <c r="C704"/>
      <c r="D704" s="13"/>
      <c r="E704"/>
      <c r="F704"/>
      <c r="G704"/>
      <c r="H704"/>
    </row>
    <row r="705" spans="1:8" s="10" customFormat="1" ht="14.25" customHeight="1" x14ac:dyDescent="0.25">
      <c r="A705"/>
      <c r="B705"/>
      <c r="C705"/>
      <c r="D705" s="13"/>
      <c r="E705"/>
      <c r="F705"/>
      <c r="G705"/>
      <c r="H705"/>
    </row>
    <row r="706" spans="1:8" s="10" customFormat="1" ht="14.25" customHeight="1" x14ac:dyDescent="0.25">
      <c r="A706"/>
      <c r="B706"/>
      <c r="C706"/>
      <c r="D706" s="13"/>
      <c r="E706"/>
      <c r="F706"/>
      <c r="G706"/>
      <c r="H706"/>
    </row>
    <row r="707" spans="1:8" s="10" customFormat="1" ht="14.25" customHeight="1" x14ac:dyDescent="0.25">
      <c r="A707"/>
      <c r="B707"/>
      <c r="C707"/>
      <c r="D707" s="13"/>
      <c r="E707"/>
      <c r="F707"/>
      <c r="G707"/>
      <c r="H707"/>
    </row>
    <row r="708" spans="1:8" s="10" customFormat="1" ht="14.25" customHeight="1" x14ac:dyDescent="0.25">
      <c r="A708"/>
      <c r="B708"/>
      <c r="C708"/>
      <c r="D708" s="13"/>
      <c r="E708"/>
      <c r="F708"/>
      <c r="G708"/>
      <c r="H708"/>
    </row>
    <row r="709" spans="1:8" s="10" customFormat="1" ht="14.25" customHeight="1" x14ac:dyDescent="0.25">
      <c r="A709"/>
      <c r="B709"/>
      <c r="C709"/>
      <c r="D709" s="13"/>
      <c r="E709"/>
      <c r="F709"/>
      <c r="G709"/>
      <c r="H709"/>
    </row>
    <row r="710" spans="1:8" s="10" customFormat="1" ht="14.25" customHeight="1" x14ac:dyDescent="0.25">
      <c r="A710"/>
      <c r="B710"/>
      <c r="C710"/>
      <c r="D710" s="13"/>
      <c r="E710"/>
      <c r="F710"/>
      <c r="G710"/>
      <c r="H710"/>
    </row>
    <row r="711" spans="1:8" s="10" customFormat="1" ht="14.25" customHeight="1" x14ac:dyDescent="0.25">
      <c r="A711"/>
      <c r="B711"/>
      <c r="C711"/>
      <c r="D711" s="13"/>
      <c r="E711"/>
      <c r="F711"/>
      <c r="G711"/>
      <c r="H711"/>
    </row>
    <row r="712" spans="1:8" s="10" customFormat="1" ht="14.25" customHeight="1" x14ac:dyDescent="0.25">
      <c r="A712"/>
      <c r="B712"/>
      <c r="C712"/>
      <c r="D712" s="13"/>
      <c r="E712"/>
      <c r="F712"/>
      <c r="G712"/>
      <c r="H712"/>
    </row>
    <row r="713" spans="1:8" s="10" customFormat="1" ht="14.25" customHeight="1" x14ac:dyDescent="0.25">
      <c r="A713"/>
      <c r="B713"/>
      <c r="C713"/>
      <c r="D713" s="13"/>
      <c r="E713"/>
      <c r="F713"/>
      <c r="G713"/>
      <c r="H713"/>
    </row>
    <row r="714" spans="1:8" s="10" customFormat="1" ht="14.25" customHeight="1" x14ac:dyDescent="0.25">
      <c r="A714"/>
      <c r="B714"/>
      <c r="C714"/>
      <c r="D714" s="13"/>
      <c r="E714"/>
      <c r="F714"/>
      <c r="G714"/>
      <c r="H714"/>
    </row>
    <row r="715" spans="1:8" s="10" customFormat="1" ht="14.25" customHeight="1" x14ac:dyDescent="0.25">
      <c r="A715"/>
      <c r="B715"/>
      <c r="C715"/>
      <c r="D715" s="13"/>
      <c r="E715"/>
      <c r="F715"/>
      <c r="G715"/>
      <c r="H715"/>
    </row>
    <row r="716" spans="1:8" s="10" customFormat="1" ht="14.25" customHeight="1" x14ac:dyDescent="0.25">
      <c r="A716"/>
      <c r="B716"/>
      <c r="C716"/>
      <c r="D716" s="13"/>
      <c r="E716"/>
      <c r="F716"/>
      <c r="G716"/>
      <c r="H716"/>
    </row>
    <row r="717" spans="1:8" s="10" customFormat="1" ht="14.25" customHeight="1" x14ac:dyDescent="0.25">
      <c r="A717"/>
      <c r="B717"/>
      <c r="C717"/>
      <c r="D717" s="13"/>
      <c r="E717"/>
      <c r="F717"/>
      <c r="G717"/>
      <c r="H717"/>
    </row>
    <row r="718" spans="1:8" s="10" customFormat="1" ht="14.25" customHeight="1" x14ac:dyDescent="0.25">
      <c r="A718"/>
      <c r="B718"/>
      <c r="C718"/>
      <c r="D718" s="13"/>
      <c r="E718"/>
      <c r="F718"/>
      <c r="G718"/>
      <c r="H718"/>
    </row>
    <row r="719" spans="1:8" s="10" customFormat="1" ht="14.25" customHeight="1" x14ac:dyDescent="0.25">
      <c r="A719"/>
      <c r="B719"/>
      <c r="C719"/>
      <c r="D719" s="13"/>
      <c r="E719"/>
      <c r="F719"/>
      <c r="G719"/>
      <c r="H719"/>
    </row>
    <row r="720" spans="1:8" s="10" customFormat="1" ht="14.25" customHeight="1" x14ac:dyDescent="0.25">
      <c r="A720"/>
      <c r="B720"/>
      <c r="C720"/>
      <c r="D720" s="13"/>
      <c r="E720"/>
      <c r="F720"/>
      <c r="G720"/>
      <c r="H720"/>
    </row>
    <row r="721" spans="1:8" s="10" customFormat="1" ht="14.25" customHeight="1" x14ac:dyDescent="0.25">
      <c r="A721"/>
      <c r="B721"/>
      <c r="C721"/>
      <c r="D721" s="13"/>
      <c r="E721"/>
      <c r="F721"/>
      <c r="G721"/>
      <c r="H721"/>
    </row>
    <row r="722" spans="1:8" s="10" customFormat="1" ht="14.25" customHeight="1" x14ac:dyDescent="0.25">
      <c r="A722"/>
      <c r="B722"/>
      <c r="C722"/>
      <c r="D722" s="13"/>
      <c r="E722"/>
      <c r="F722"/>
      <c r="G722"/>
      <c r="H722"/>
    </row>
    <row r="723" spans="1:8" s="10" customFormat="1" ht="14.25" customHeight="1" x14ac:dyDescent="0.25">
      <c r="A723"/>
      <c r="B723"/>
      <c r="C723"/>
      <c r="D723" s="13"/>
      <c r="E723"/>
      <c r="F723"/>
      <c r="G723"/>
      <c r="H723"/>
    </row>
    <row r="724" spans="1:8" s="10" customFormat="1" ht="14.25" customHeight="1" x14ac:dyDescent="0.25">
      <c r="A724"/>
      <c r="B724"/>
      <c r="C724"/>
      <c r="D724" s="13"/>
      <c r="E724"/>
      <c r="F724"/>
      <c r="G724"/>
      <c r="H724"/>
    </row>
    <row r="725" spans="1:8" s="10" customFormat="1" ht="14.25" customHeight="1" x14ac:dyDescent="0.25">
      <c r="A725"/>
      <c r="B725"/>
      <c r="C725"/>
      <c r="D725" s="13"/>
      <c r="E725"/>
      <c r="F725"/>
      <c r="G725"/>
      <c r="H725"/>
    </row>
    <row r="726" spans="1:8" s="10" customFormat="1" ht="14.25" customHeight="1" x14ac:dyDescent="0.25">
      <c r="A726"/>
      <c r="B726"/>
      <c r="C726"/>
      <c r="D726" s="13"/>
      <c r="E726"/>
      <c r="F726"/>
      <c r="G726"/>
      <c r="H726"/>
    </row>
    <row r="727" spans="1:8" s="10" customFormat="1" ht="14.25" customHeight="1" x14ac:dyDescent="0.25">
      <c r="A727"/>
      <c r="B727"/>
      <c r="C727"/>
      <c r="D727" s="13"/>
      <c r="E727"/>
      <c r="F727"/>
      <c r="G727"/>
      <c r="H727"/>
    </row>
    <row r="728" spans="1:8" s="10" customFormat="1" ht="14.25" customHeight="1" x14ac:dyDescent="0.25">
      <c r="A728"/>
      <c r="B728"/>
      <c r="C728"/>
      <c r="D728" s="13"/>
      <c r="E728"/>
      <c r="F728"/>
      <c r="G728"/>
      <c r="H728"/>
    </row>
    <row r="729" spans="1:8" s="10" customFormat="1" ht="14.25" customHeight="1" x14ac:dyDescent="0.25">
      <c r="A729"/>
      <c r="B729"/>
      <c r="C729"/>
      <c r="D729" s="13"/>
      <c r="E729"/>
      <c r="F729"/>
      <c r="G729"/>
      <c r="H729"/>
    </row>
    <row r="730" spans="1:8" s="10" customFormat="1" ht="14.25" customHeight="1" x14ac:dyDescent="0.25">
      <c r="A730"/>
      <c r="B730"/>
      <c r="C730"/>
      <c r="D730" s="13"/>
      <c r="E730"/>
      <c r="F730"/>
      <c r="G730"/>
      <c r="H730"/>
    </row>
    <row r="731" spans="1:8" s="10" customFormat="1" ht="14.25" customHeight="1" x14ac:dyDescent="0.25">
      <c r="A731"/>
      <c r="B731"/>
      <c r="C731"/>
      <c r="D731" s="13"/>
      <c r="E731"/>
      <c r="F731"/>
      <c r="G731"/>
      <c r="H731"/>
    </row>
    <row r="732" spans="1:8" s="10" customFormat="1" ht="14.25" customHeight="1" x14ac:dyDescent="0.25">
      <c r="A732"/>
      <c r="B732"/>
      <c r="C732"/>
      <c r="D732" s="13"/>
      <c r="E732"/>
      <c r="F732"/>
      <c r="G732"/>
      <c r="H732"/>
    </row>
    <row r="733" spans="1:8" s="10" customFormat="1" ht="14.25" customHeight="1" x14ac:dyDescent="0.25">
      <c r="A733"/>
      <c r="B733"/>
      <c r="C733"/>
      <c r="D733" s="13"/>
      <c r="E733"/>
      <c r="F733"/>
      <c r="G733"/>
      <c r="H733"/>
    </row>
    <row r="734" spans="1:8" s="10" customFormat="1" ht="14.25" customHeight="1" x14ac:dyDescent="0.25">
      <c r="A734"/>
      <c r="B734"/>
      <c r="C734"/>
      <c r="D734" s="13"/>
      <c r="E734"/>
      <c r="F734"/>
      <c r="G734"/>
      <c r="H734"/>
    </row>
    <row r="735" spans="1:8" s="10" customFormat="1" ht="14.25" customHeight="1" x14ac:dyDescent="0.25">
      <c r="A735"/>
      <c r="B735"/>
      <c r="C735"/>
      <c r="D735" s="13"/>
      <c r="E735"/>
      <c r="F735"/>
      <c r="G735"/>
      <c r="H735"/>
    </row>
    <row r="736" spans="1:8" s="10" customFormat="1" ht="14.25" customHeight="1" x14ac:dyDescent="0.25">
      <c r="A736"/>
      <c r="B736"/>
      <c r="C736"/>
      <c r="D736" s="13"/>
      <c r="E736"/>
      <c r="F736"/>
      <c r="G736"/>
      <c r="H736"/>
    </row>
    <row r="737" spans="1:8" s="10" customFormat="1" ht="14.25" customHeight="1" x14ac:dyDescent="0.25">
      <c r="A737"/>
      <c r="B737"/>
      <c r="C737"/>
      <c r="D737" s="13"/>
      <c r="E737"/>
      <c r="F737"/>
      <c r="G737"/>
      <c r="H737"/>
    </row>
    <row r="738" spans="1:8" s="10" customFormat="1" ht="14.25" customHeight="1" x14ac:dyDescent="0.25">
      <c r="A738"/>
      <c r="B738"/>
      <c r="C738"/>
      <c r="D738" s="13"/>
      <c r="E738"/>
      <c r="F738"/>
      <c r="G738"/>
      <c r="H738"/>
    </row>
    <row r="739" spans="1:8" s="10" customFormat="1" ht="14.25" customHeight="1" x14ac:dyDescent="0.25">
      <c r="A739"/>
      <c r="B739"/>
      <c r="C739"/>
      <c r="D739" s="13"/>
      <c r="E739"/>
      <c r="F739"/>
      <c r="G739"/>
      <c r="H739"/>
    </row>
    <row r="740" spans="1:8" s="10" customFormat="1" ht="14.25" customHeight="1" x14ac:dyDescent="0.25">
      <c r="A740"/>
      <c r="B740"/>
      <c r="C740"/>
      <c r="D740" s="13"/>
      <c r="E740"/>
      <c r="F740"/>
      <c r="G740"/>
      <c r="H740"/>
    </row>
    <row r="741" spans="1:8" s="10" customFormat="1" ht="14.25" customHeight="1" x14ac:dyDescent="0.25">
      <c r="A741"/>
      <c r="B741"/>
      <c r="C741"/>
      <c r="D741" s="13"/>
      <c r="E741"/>
      <c r="F741"/>
      <c r="G741"/>
      <c r="H741"/>
    </row>
    <row r="742" spans="1:8" s="10" customFormat="1" ht="14.25" customHeight="1" x14ac:dyDescent="0.25">
      <c r="A742"/>
      <c r="B742"/>
      <c r="C742"/>
      <c r="D742" s="13"/>
      <c r="E742"/>
      <c r="F742"/>
      <c r="G742"/>
      <c r="H742"/>
    </row>
    <row r="743" spans="1:8" s="10" customFormat="1" ht="14.25" customHeight="1" x14ac:dyDescent="0.25">
      <c r="A743"/>
      <c r="B743"/>
      <c r="C743"/>
      <c r="D743" s="13"/>
      <c r="E743"/>
      <c r="F743"/>
      <c r="G743"/>
      <c r="H743"/>
    </row>
    <row r="744" spans="1:8" s="10" customFormat="1" ht="14.25" customHeight="1" x14ac:dyDescent="0.25">
      <c r="A744"/>
      <c r="B744"/>
      <c r="C744"/>
      <c r="D744" s="13"/>
      <c r="E744"/>
      <c r="F744"/>
      <c r="G744"/>
      <c r="H744"/>
    </row>
    <row r="745" spans="1:8" s="10" customFormat="1" ht="14.25" customHeight="1" x14ac:dyDescent="0.25">
      <c r="A745"/>
      <c r="B745"/>
      <c r="C745"/>
      <c r="D745" s="13"/>
      <c r="E745"/>
      <c r="F745"/>
      <c r="G745"/>
      <c r="H745"/>
    </row>
    <row r="746" spans="1:8" s="10" customFormat="1" ht="14.25" customHeight="1" x14ac:dyDescent="0.25">
      <c r="A746"/>
      <c r="B746"/>
      <c r="C746"/>
      <c r="D746" s="13"/>
      <c r="E746"/>
      <c r="F746"/>
      <c r="G746"/>
      <c r="H746"/>
    </row>
    <row r="747" spans="1:8" s="10" customFormat="1" ht="14.25" customHeight="1" x14ac:dyDescent="0.25">
      <c r="A747"/>
      <c r="B747"/>
      <c r="C747"/>
      <c r="D747" s="13"/>
      <c r="E747"/>
      <c r="F747"/>
      <c r="G747"/>
      <c r="H747"/>
    </row>
    <row r="748" spans="1:8" s="10" customFormat="1" ht="14.25" customHeight="1" x14ac:dyDescent="0.25">
      <c r="A748"/>
      <c r="B748"/>
      <c r="C748"/>
      <c r="D748" s="13"/>
      <c r="E748"/>
      <c r="F748"/>
      <c r="G748"/>
      <c r="H748"/>
    </row>
    <row r="749" spans="1:8" s="10" customFormat="1" ht="14.25" customHeight="1" x14ac:dyDescent="0.25">
      <c r="A749"/>
      <c r="B749"/>
      <c r="C749"/>
      <c r="D749" s="13"/>
      <c r="E749"/>
      <c r="F749"/>
      <c r="G749"/>
      <c r="H749"/>
    </row>
    <row r="750" spans="1:8" s="10" customFormat="1" ht="14.25" customHeight="1" x14ac:dyDescent="0.25">
      <c r="A750"/>
      <c r="B750"/>
      <c r="C750"/>
      <c r="D750" s="13"/>
      <c r="E750"/>
      <c r="F750"/>
      <c r="G750"/>
      <c r="H750"/>
    </row>
    <row r="751" spans="1:8" s="10" customFormat="1" ht="14.25" customHeight="1" x14ac:dyDescent="0.25">
      <c r="A751"/>
      <c r="B751"/>
      <c r="C751"/>
      <c r="D751" s="13"/>
      <c r="E751"/>
      <c r="F751"/>
      <c r="G751"/>
      <c r="H751"/>
    </row>
    <row r="752" spans="1:8" s="10" customFormat="1" ht="14.25" customHeight="1" x14ac:dyDescent="0.25">
      <c r="A752"/>
      <c r="B752"/>
      <c r="C752"/>
      <c r="D752" s="13"/>
      <c r="E752"/>
      <c r="F752"/>
      <c r="G752"/>
      <c r="H752"/>
    </row>
    <row r="753" spans="1:8" s="10" customFormat="1" ht="14.25" customHeight="1" x14ac:dyDescent="0.25">
      <c r="A753"/>
      <c r="B753"/>
      <c r="C753"/>
      <c r="D753" s="13"/>
      <c r="E753"/>
      <c r="F753"/>
      <c r="G753"/>
      <c r="H753"/>
    </row>
    <row r="754" spans="1:8" s="10" customFormat="1" ht="14.25" customHeight="1" x14ac:dyDescent="0.25">
      <c r="A754"/>
      <c r="B754"/>
      <c r="C754"/>
      <c r="D754" s="13"/>
      <c r="E754"/>
      <c r="F754"/>
      <c r="G754"/>
      <c r="H754"/>
    </row>
    <row r="755" spans="1:8" s="10" customFormat="1" ht="14.25" customHeight="1" x14ac:dyDescent="0.25">
      <c r="A755"/>
      <c r="B755"/>
      <c r="C755"/>
      <c r="D755" s="13"/>
      <c r="E755"/>
      <c r="F755"/>
      <c r="G755"/>
      <c r="H755"/>
    </row>
    <row r="756" spans="1:8" s="10" customFormat="1" ht="14.25" customHeight="1" x14ac:dyDescent="0.25">
      <c r="A756"/>
      <c r="B756"/>
      <c r="C756"/>
      <c r="D756" s="13"/>
      <c r="E756"/>
      <c r="F756"/>
      <c r="G756"/>
      <c r="H756"/>
    </row>
    <row r="757" spans="1:8" s="10" customFormat="1" ht="14.25" customHeight="1" x14ac:dyDescent="0.25">
      <c r="A757"/>
      <c r="B757"/>
      <c r="C757"/>
      <c r="D757" s="13"/>
      <c r="E757"/>
      <c r="F757"/>
      <c r="G757"/>
      <c r="H757"/>
    </row>
    <row r="758" spans="1:8" s="10" customFormat="1" ht="14.25" customHeight="1" x14ac:dyDescent="0.25">
      <c r="A758"/>
      <c r="B758"/>
      <c r="C758"/>
      <c r="D758" s="13"/>
      <c r="E758"/>
      <c r="F758"/>
      <c r="G758"/>
      <c r="H758"/>
    </row>
    <row r="759" spans="1:8" s="10" customFormat="1" ht="14.25" customHeight="1" x14ac:dyDescent="0.25">
      <c r="A759"/>
      <c r="B759"/>
      <c r="C759"/>
      <c r="D759" s="13"/>
      <c r="E759"/>
      <c r="F759"/>
      <c r="G759"/>
      <c r="H759"/>
    </row>
    <row r="760" spans="1:8" s="10" customFormat="1" ht="14.25" customHeight="1" x14ac:dyDescent="0.25">
      <c r="A760"/>
      <c r="B760"/>
      <c r="C760"/>
      <c r="D760" s="13"/>
      <c r="E760"/>
      <c r="F760"/>
      <c r="G760"/>
      <c r="H760"/>
    </row>
    <row r="761" spans="1:8" s="10" customFormat="1" ht="14.25" customHeight="1" x14ac:dyDescent="0.25">
      <c r="A761"/>
      <c r="B761"/>
      <c r="C761"/>
      <c r="D761" s="13"/>
      <c r="E761"/>
      <c r="F761"/>
      <c r="G761"/>
      <c r="H761"/>
    </row>
    <row r="762" spans="1:8" s="10" customFormat="1" ht="14.25" customHeight="1" x14ac:dyDescent="0.25">
      <c r="A762"/>
      <c r="B762"/>
      <c r="C762"/>
      <c r="D762" s="13"/>
      <c r="E762"/>
      <c r="F762"/>
      <c r="G762"/>
      <c r="H762"/>
    </row>
    <row r="763" spans="1:8" s="10" customFormat="1" ht="14.25" customHeight="1" x14ac:dyDescent="0.25">
      <c r="A763"/>
      <c r="B763"/>
      <c r="C763"/>
      <c r="D763" s="13"/>
      <c r="E763"/>
      <c r="F763"/>
      <c r="G763"/>
      <c r="H763"/>
    </row>
    <row r="764" spans="1:8" s="10" customFormat="1" ht="14.25" customHeight="1" x14ac:dyDescent="0.25">
      <c r="A764"/>
      <c r="B764"/>
      <c r="C764"/>
      <c r="D764" s="13"/>
      <c r="E764"/>
      <c r="F764"/>
      <c r="G764"/>
      <c r="H764"/>
    </row>
    <row r="765" spans="1:8" s="10" customFormat="1" ht="14.25" customHeight="1" x14ac:dyDescent="0.25">
      <c r="A765"/>
      <c r="B765"/>
      <c r="C765"/>
      <c r="D765" s="13"/>
      <c r="E765"/>
      <c r="F765"/>
      <c r="G765"/>
      <c r="H765"/>
    </row>
    <row r="766" spans="1:8" s="10" customFormat="1" ht="14.25" customHeight="1" x14ac:dyDescent="0.25">
      <c r="A766"/>
      <c r="B766"/>
      <c r="C766"/>
      <c r="D766" s="13"/>
      <c r="E766"/>
      <c r="F766"/>
      <c r="G766"/>
      <c r="H766"/>
    </row>
    <row r="767" spans="1:8" s="10" customFormat="1" ht="14.25" customHeight="1" x14ac:dyDescent="0.25">
      <c r="A767"/>
      <c r="B767"/>
      <c r="C767"/>
      <c r="D767" s="13"/>
      <c r="E767"/>
      <c r="F767"/>
      <c r="G767"/>
      <c r="H767"/>
    </row>
    <row r="768" spans="1:8" s="10" customFormat="1" ht="14.25" customHeight="1" x14ac:dyDescent="0.25">
      <c r="A768"/>
      <c r="B768"/>
      <c r="C768"/>
      <c r="D768" s="13"/>
      <c r="E768"/>
      <c r="F768"/>
      <c r="G768"/>
      <c r="H768"/>
    </row>
    <row r="769" spans="1:8" s="10" customFormat="1" ht="14.25" customHeight="1" x14ac:dyDescent="0.25">
      <c r="A769"/>
      <c r="B769"/>
      <c r="C769"/>
      <c r="D769" s="13"/>
      <c r="E769"/>
      <c r="F769"/>
      <c r="G769"/>
      <c r="H769"/>
    </row>
    <row r="770" spans="1:8" s="10" customFormat="1" ht="14.25" customHeight="1" x14ac:dyDescent="0.25">
      <c r="A770"/>
      <c r="B770"/>
      <c r="C770"/>
      <c r="D770" s="13"/>
      <c r="E770"/>
      <c r="F770"/>
      <c r="G770"/>
      <c r="H770"/>
    </row>
    <row r="771" spans="1:8" s="10" customFormat="1" ht="14.25" customHeight="1" x14ac:dyDescent="0.25">
      <c r="A771"/>
      <c r="B771"/>
      <c r="C771"/>
      <c r="D771" s="13"/>
      <c r="E771"/>
      <c r="F771"/>
      <c r="G771"/>
      <c r="H771"/>
    </row>
    <row r="772" spans="1:8" s="10" customFormat="1" ht="14.25" customHeight="1" x14ac:dyDescent="0.25">
      <c r="A772"/>
      <c r="B772"/>
      <c r="C772"/>
      <c r="D772" s="13"/>
      <c r="E772"/>
      <c r="F772"/>
      <c r="G772"/>
      <c r="H772"/>
    </row>
    <row r="773" spans="1:8" s="10" customFormat="1" ht="14.25" customHeight="1" x14ac:dyDescent="0.25">
      <c r="A773"/>
      <c r="B773"/>
      <c r="C773"/>
      <c r="D773" s="13"/>
      <c r="E773"/>
      <c r="F773"/>
      <c r="G773"/>
      <c r="H773"/>
    </row>
    <row r="774" spans="1:8" s="10" customFormat="1" ht="14.25" customHeight="1" x14ac:dyDescent="0.25">
      <c r="A774"/>
      <c r="B774"/>
      <c r="C774"/>
      <c r="D774" s="13"/>
      <c r="E774"/>
      <c r="F774"/>
      <c r="G774"/>
      <c r="H774"/>
    </row>
    <row r="775" spans="1:8" s="10" customFormat="1" ht="14.25" customHeight="1" x14ac:dyDescent="0.25">
      <c r="A775"/>
      <c r="B775"/>
      <c r="C775"/>
      <c r="D775" s="13"/>
      <c r="E775"/>
      <c r="F775"/>
      <c r="G775"/>
      <c r="H775"/>
    </row>
    <row r="776" spans="1:8" s="10" customFormat="1" ht="14.25" customHeight="1" x14ac:dyDescent="0.25">
      <c r="A776"/>
      <c r="B776"/>
      <c r="C776"/>
      <c r="D776" s="13"/>
      <c r="E776"/>
      <c r="F776"/>
      <c r="G776"/>
      <c r="H776"/>
    </row>
    <row r="777" spans="1:8" s="10" customFormat="1" ht="14.25" customHeight="1" x14ac:dyDescent="0.25">
      <c r="A777"/>
      <c r="B777"/>
      <c r="C777"/>
      <c r="D777" s="13"/>
      <c r="E777"/>
      <c r="F777"/>
      <c r="G777"/>
      <c r="H777"/>
    </row>
    <row r="778" spans="1:8" s="10" customFormat="1" ht="14.25" customHeight="1" x14ac:dyDescent="0.25">
      <c r="A778"/>
      <c r="B778"/>
      <c r="C778"/>
      <c r="D778" s="13"/>
      <c r="E778"/>
      <c r="F778"/>
      <c r="G778"/>
      <c r="H778"/>
    </row>
    <row r="779" spans="1:8" s="10" customFormat="1" ht="14.25" customHeight="1" x14ac:dyDescent="0.25">
      <c r="A779"/>
      <c r="B779"/>
      <c r="C779"/>
      <c r="D779" s="13"/>
      <c r="E779"/>
      <c r="F779"/>
      <c r="G779"/>
      <c r="H779"/>
    </row>
    <row r="780" spans="1:8" s="10" customFormat="1" ht="14.25" customHeight="1" x14ac:dyDescent="0.25">
      <c r="A780"/>
      <c r="B780"/>
      <c r="C780"/>
      <c r="D780" s="13"/>
      <c r="E780"/>
      <c r="F780"/>
      <c r="G780"/>
      <c r="H780"/>
    </row>
    <row r="781" spans="1:8" s="10" customFormat="1" ht="14.25" customHeight="1" x14ac:dyDescent="0.25">
      <c r="A781"/>
      <c r="B781"/>
      <c r="C781"/>
      <c r="D781" s="13"/>
      <c r="E781"/>
      <c r="F781"/>
      <c r="G781"/>
      <c r="H781"/>
    </row>
    <row r="782" spans="1:8" s="10" customFormat="1" ht="14.25" customHeight="1" x14ac:dyDescent="0.25">
      <c r="A782"/>
      <c r="B782"/>
      <c r="C782"/>
      <c r="D782" s="13"/>
      <c r="E782"/>
      <c r="F782"/>
      <c r="G782"/>
      <c r="H782"/>
    </row>
    <row r="783" spans="1:8" s="10" customFormat="1" ht="14.25" customHeight="1" x14ac:dyDescent="0.25">
      <c r="A783"/>
      <c r="B783"/>
      <c r="C783"/>
      <c r="D783" s="13"/>
      <c r="E783"/>
      <c r="F783"/>
      <c r="G783"/>
      <c r="H783"/>
    </row>
    <row r="784" spans="1:8" s="10" customFormat="1" ht="14.25" customHeight="1" x14ac:dyDescent="0.25">
      <c r="A784"/>
      <c r="B784"/>
      <c r="C784"/>
      <c r="D784" s="13"/>
      <c r="E784"/>
      <c r="F784"/>
      <c r="G784"/>
      <c r="H784"/>
    </row>
    <row r="785" spans="1:8" s="10" customFormat="1" ht="14.25" customHeight="1" x14ac:dyDescent="0.25">
      <c r="A785"/>
      <c r="B785"/>
      <c r="C785"/>
      <c r="D785" s="13"/>
      <c r="E785"/>
      <c r="F785"/>
      <c r="G785"/>
      <c r="H785"/>
    </row>
    <row r="786" spans="1:8" s="10" customFormat="1" ht="14.25" customHeight="1" x14ac:dyDescent="0.25">
      <c r="A786"/>
      <c r="B786"/>
      <c r="C786"/>
      <c r="D786" s="13"/>
      <c r="E786"/>
      <c r="F786"/>
      <c r="G786"/>
      <c r="H786"/>
    </row>
    <row r="787" spans="1:8" s="10" customFormat="1" ht="14.25" customHeight="1" x14ac:dyDescent="0.25">
      <c r="A787"/>
      <c r="B787"/>
      <c r="C787"/>
      <c r="D787" s="13"/>
      <c r="E787"/>
      <c r="F787"/>
      <c r="G787"/>
      <c r="H787"/>
    </row>
    <row r="788" spans="1:8" s="10" customFormat="1" ht="14.25" customHeight="1" x14ac:dyDescent="0.25">
      <c r="A788"/>
      <c r="B788"/>
      <c r="C788"/>
      <c r="D788" s="13"/>
      <c r="E788"/>
      <c r="F788"/>
      <c r="G788"/>
      <c r="H788"/>
    </row>
    <row r="789" spans="1:8" s="10" customFormat="1" ht="14.25" customHeight="1" x14ac:dyDescent="0.25">
      <c r="A789"/>
      <c r="B789"/>
      <c r="C789"/>
      <c r="D789" s="13"/>
      <c r="E789"/>
      <c r="F789"/>
      <c r="G789"/>
      <c r="H789"/>
    </row>
    <row r="790" spans="1:8" s="10" customFormat="1" ht="14.25" customHeight="1" x14ac:dyDescent="0.25">
      <c r="A790"/>
      <c r="B790"/>
      <c r="C790"/>
      <c r="D790" s="13"/>
      <c r="E790"/>
      <c r="F790"/>
      <c r="G790"/>
      <c r="H790"/>
    </row>
    <row r="791" spans="1:8" s="10" customFormat="1" ht="14.25" customHeight="1" x14ac:dyDescent="0.25">
      <c r="A791"/>
      <c r="B791"/>
      <c r="C791"/>
      <c r="D791" s="13"/>
      <c r="E791"/>
      <c r="F791"/>
      <c r="G791"/>
      <c r="H791"/>
    </row>
    <row r="792" spans="1:8" s="10" customFormat="1" ht="14.25" customHeight="1" x14ac:dyDescent="0.25">
      <c r="A792"/>
      <c r="B792"/>
      <c r="C792"/>
      <c r="D792" s="13"/>
      <c r="E792"/>
      <c r="F792"/>
      <c r="G792"/>
      <c r="H792"/>
    </row>
    <row r="793" spans="1:8" s="10" customFormat="1" ht="14.25" customHeight="1" x14ac:dyDescent="0.25">
      <c r="A793"/>
      <c r="B793"/>
      <c r="C793"/>
      <c r="D793" s="13"/>
      <c r="E793"/>
      <c r="F793"/>
      <c r="G793"/>
      <c r="H793"/>
    </row>
    <row r="794" spans="1:8" s="10" customFormat="1" ht="14.25" customHeight="1" x14ac:dyDescent="0.25">
      <c r="A794"/>
      <c r="B794"/>
      <c r="C794"/>
      <c r="D794" s="13"/>
      <c r="E794"/>
      <c r="F794"/>
      <c r="G794"/>
      <c r="H794"/>
    </row>
    <row r="795" spans="1:8" s="10" customFormat="1" ht="14.25" customHeight="1" x14ac:dyDescent="0.25">
      <c r="A795"/>
      <c r="B795"/>
      <c r="C795"/>
      <c r="D795" s="13"/>
      <c r="E795"/>
      <c r="F795"/>
      <c r="G795"/>
      <c r="H795"/>
    </row>
    <row r="796" spans="1:8" s="10" customFormat="1" ht="14.25" customHeight="1" x14ac:dyDescent="0.25">
      <c r="A796"/>
      <c r="B796"/>
      <c r="C796"/>
      <c r="D796" s="13"/>
      <c r="E796"/>
      <c r="F796"/>
      <c r="G796"/>
      <c r="H796"/>
    </row>
    <row r="797" spans="1:8" s="10" customFormat="1" ht="14.25" customHeight="1" x14ac:dyDescent="0.25">
      <c r="A797"/>
      <c r="B797"/>
      <c r="C797"/>
      <c r="D797" s="13"/>
      <c r="E797"/>
      <c r="F797"/>
      <c r="G797"/>
      <c r="H797"/>
    </row>
    <row r="798" spans="1:8" s="10" customFormat="1" ht="14.25" customHeight="1" x14ac:dyDescent="0.25">
      <c r="A798"/>
      <c r="B798"/>
      <c r="C798"/>
      <c r="D798" s="13"/>
      <c r="E798"/>
      <c r="F798"/>
      <c r="G798"/>
      <c r="H798"/>
    </row>
    <row r="799" spans="1:8" s="10" customFormat="1" ht="14.25" customHeight="1" x14ac:dyDescent="0.25">
      <c r="A799"/>
      <c r="B799"/>
      <c r="C799"/>
      <c r="D799" s="13"/>
      <c r="E799"/>
      <c r="F799"/>
      <c r="G799"/>
      <c r="H799"/>
    </row>
    <row r="800" spans="1:8" s="10" customFormat="1" ht="14.25" customHeight="1" x14ac:dyDescent="0.25">
      <c r="A800"/>
      <c r="B800"/>
      <c r="C800"/>
      <c r="D800" s="13"/>
      <c r="E800"/>
      <c r="F800"/>
      <c r="G800"/>
      <c r="H800"/>
    </row>
    <row r="801" spans="1:8" s="10" customFormat="1" ht="14.25" customHeight="1" x14ac:dyDescent="0.25">
      <c r="A801"/>
      <c r="B801"/>
      <c r="C801"/>
      <c r="D801" s="13"/>
      <c r="E801"/>
      <c r="F801"/>
      <c r="G801"/>
      <c r="H801"/>
    </row>
    <row r="802" spans="1:8" s="10" customFormat="1" ht="14.25" customHeight="1" x14ac:dyDescent="0.25">
      <c r="A802"/>
      <c r="B802"/>
      <c r="C802"/>
      <c r="D802" s="13"/>
      <c r="E802"/>
      <c r="F802"/>
      <c r="G802"/>
      <c r="H802"/>
    </row>
    <row r="803" spans="1:8" s="10" customFormat="1" ht="14.25" customHeight="1" x14ac:dyDescent="0.25">
      <c r="A803"/>
      <c r="B803"/>
      <c r="C803"/>
      <c r="D803" s="13"/>
      <c r="E803"/>
      <c r="F803"/>
      <c r="G803"/>
      <c r="H803"/>
    </row>
    <row r="804" spans="1:8" s="10" customFormat="1" ht="14.25" customHeight="1" x14ac:dyDescent="0.25">
      <c r="A804"/>
      <c r="B804"/>
      <c r="C804"/>
      <c r="D804" s="13"/>
      <c r="E804"/>
      <c r="F804"/>
      <c r="G804"/>
      <c r="H804"/>
    </row>
    <row r="805" spans="1:8" s="10" customFormat="1" ht="14.25" customHeight="1" x14ac:dyDescent="0.25">
      <c r="A805"/>
      <c r="B805"/>
      <c r="C805"/>
      <c r="D805" s="13"/>
      <c r="E805"/>
      <c r="F805"/>
      <c r="G805"/>
      <c r="H805"/>
    </row>
    <row r="806" spans="1:8" s="10" customFormat="1" ht="14.25" customHeight="1" x14ac:dyDescent="0.25">
      <c r="A806"/>
      <c r="B806"/>
      <c r="C806"/>
      <c r="D806" s="13"/>
      <c r="E806"/>
      <c r="F806"/>
      <c r="G806"/>
      <c r="H806"/>
    </row>
    <row r="807" spans="1:8" s="10" customFormat="1" ht="14.25" customHeight="1" x14ac:dyDescent="0.25">
      <c r="A807"/>
      <c r="B807"/>
      <c r="C807"/>
      <c r="D807" s="13"/>
      <c r="E807"/>
      <c r="F807"/>
      <c r="G807"/>
      <c r="H807"/>
    </row>
    <row r="808" spans="1:8" s="10" customFormat="1" ht="14.25" customHeight="1" x14ac:dyDescent="0.25">
      <c r="A808"/>
      <c r="B808"/>
      <c r="C808"/>
      <c r="D808" s="13"/>
      <c r="E808"/>
      <c r="F808"/>
      <c r="G808"/>
      <c r="H808"/>
    </row>
    <row r="809" spans="1:8" s="10" customFormat="1" ht="14.25" customHeight="1" x14ac:dyDescent="0.25">
      <c r="A809"/>
      <c r="B809"/>
      <c r="C809"/>
      <c r="D809" s="13"/>
      <c r="E809"/>
      <c r="F809"/>
      <c r="G809"/>
      <c r="H809"/>
    </row>
    <row r="810" spans="1:8" s="10" customFormat="1" ht="14.25" customHeight="1" x14ac:dyDescent="0.25">
      <c r="A810"/>
      <c r="B810"/>
      <c r="C810"/>
      <c r="D810" s="13"/>
      <c r="E810"/>
      <c r="F810"/>
      <c r="G810"/>
      <c r="H810"/>
    </row>
    <row r="811" spans="1:8" s="10" customFormat="1" ht="14.25" customHeight="1" x14ac:dyDescent="0.25">
      <c r="A811"/>
      <c r="B811"/>
      <c r="C811"/>
      <c r="D811" s="13"/>
      <c r="E811"/>
      <c r="F811"/>
      <c r="G811"/>
      <c r="H811"/>
    </row>
    <row r="812" spans="1:8" s="10" customFormat="1" ht="14.25" customHeight="1" x14ac:dyDescent="0.25">
      <c r="A812"/>
      <c r="B812"/>
      <c r="C812"/>
      <c r="D812" s="13"/>
      <c r="E812"/>
      <c r="F812"/>
      <c r="G812"/>
      <c r="H812"/>
    </row>
    <row r="813" spans="1:8" s="10" customFormat="1" ht="14.25" customHeight="1" x14ac:dyDescent="0.25">
      <c r="A813"/>
      <c r="B813"/>
      <c r="C813"/>
      <c r="D813" s="13"/>
      <c r="E813"/>
      <c r="F813"/>
      <c r="G813"/>
      <c r="H813"/>
    </row>
    <row r="814" spans="1:8" s="10" customFormat="1" ht="14.25" customHeight="1" x14ac:dyDescent="0.25">
      <c r="A814"/>
      <c r="B814"/>
      <c r="C814"/>
      <c r="D814" s="13"/>
      <c r="E814"/>
      <c r="F814"/>
      <c r="G814"/>
      <c r="H814"/>
    </row>
    <row r="815" spans="1:8" s="10" customFormat="1" ht="14.25" customHeight="1" x14ac:dyDescent="0.25">
      <c r="A815"/>
      <c r="B815"/>
      <c r="C815"/>
      <c r="D815" s="13"/>
      <c r="E815"/>
      <c r="F815"/>
      <c r="G815"/>
      <c r="H815"/>
    </row>
    <row r="816" spans="1:8" s="10" customFormat="1" ht="14.25" customHeight="1" x14ac:dyDescent="0.25">
      <c r="A816"/>
      <c r="B816"/>
      <c r="C816"/>
      <c r="D816" s="13"/>
      <c r="E816"/>
      <c r="F816"/>
      <c r="G816"/>
      <c r="H816"/>
    </row>
    <row r="817" spans="1:8" s="10" customFormat="1" ht="14.25" customHeight="1" x14ac:dyDescent="0.25">
      <c r="A817"/>
      <c r="B817"/>
      <c r="C817"/>
      <c r="D817" s="13"/>
      <c r="E817"/>
      <c r="F817"/>
      <c r="G817"/>
      <c r="H817"/>
    </row>
    <row r="818" spans="1:8" s="10" customFormat="1" ht="14.25" customHeight="1" x14ac:dyDescent="0.25">
      <c r="A818"/>
      <c r="B818"/>
      <c r="C818"/>
      <c r="D818" s="13"/>
      <c r="E818"/>
      <c r="F818"/>
      <c r="G818"/>
      <c r="H818"/>
    </row>
    <row r="819" spans="1:8" s="10" customFormat="1" ht="14.25" customHeight="1" x14ac:dyDescent="0.25">
      <c r="A819"/>
      <c r="B819"/>
      <c r="C819"/>
      <c r="D819" s="13"/>
      <c r="E819"/>
      <c r="F819"/>
      <c r="G819"/>
      <c r="H819"/>
    </row>
    <row r="820" spans="1:8" s="10" customFormat="1" ht="14.25" customHeight="1" x14ac:dyDescent="0.25">
      <c r="A820"/>
      <c r="B820"/>
      <c r="C820"/>
      <c r="D820" s="13"/>
      <c r="E820"/>
      <c r="F820"/>
      <c r="G820"/>
      <c r="H820"/>
    </row>
    <row r="821" spans="1:8" s="10" customFormat="1" ht="14.25" customHeight="1" x14ac:dyDescent="0.25">
      <c r="A821"/>
      <c r="B821"/>
      <c r="C821"/>
      <c r="D821" s="13"/>
      <c r="E821"/>
      <c r="F821"/>
      <c r="G821"/>
      <c r="H821"/>
    </row>
    <row r="822" spans="1:8" s="10" customFormat="1" ht="14.25" customHeight="1" x14ac:dyDescent="0.25">
      <c r="A822"/>
      <c r="B822"/>
      <c r="C822"/>
      <c r="D822" s="13"/>
      <c r="E822"/>
      <c r="F822"/>
      <c r="G822"/>
      <c r="H822"/>
    </row>
    <row r="823" spans="1:8" s="10" customFormat="1" ht="14.25" customHeight="1" x14ac:dyDescent="0.25">
      <c r="A823"/>
      <c r="B823"/>
      <c r="C823"/>
      <c r="D823" s="13"/>
      <c r="E823"/>
      <c r="F823"/>
      <c r="G823"/>
      <c r="H823"/>
    </row>
    <row r="824" spans="1:8" s="10" customFormat="1" ht="14.25" customHeight="1" x14ac:dyDescent="0.25">
      <c r="A824"/>
      <c r="B824"/>
      <c r="C824"/>
      <c r="D824" s="13"/>
      <c r="E824"/>
      <c r="F824"/>
      <c r="G824"/>
      <c r="H824"/>
    </row>
    <row r="825" spans="1:8" s="10" customFormat="1" ht="14.25" customHeight="1" x14ac:dyDescent="0.25">
      <c r="A825"/>
      <c r="B825"/>
      <c r="C825"/>
      <c r="D825" s="13"/>
      <c r="E825"/>
      <c r="F825"/>
      <c r="G825"/>
      <c r="H825"/>
    </row>
    <row r="826" spans="1:8" s="10" customFormat="1" ht="14.25" customHeight="1" x14ac:dyDescent="0.25">
      <c r="A826"/>
      <c r="B826"/>
      <c r="C826"/>
      <c r="D826" s="13"/>
      <c r="E826"/>
      <c r="F826"/>
      <c r="G826"/>
      <c r="H826"/>
    </row>
    <row r="827" spans="1:8" s="10" customFormat="1" ht="14.25" customHeight="1" x14ac:dyDescent="0.25">
      <c r="A827"/>
      <c r="B827"/>
      <c r="C827"/>
      <c r="D827" s="13"/>
      <c r="E827"/>
      <c r="F827"/>
      <c r="G827"/>
      <c r="H827"/>
    </row>
    <row r="828" spans="1:8" s="10" customFormat="1" ht="14.25" customHeight="1" x14ac:dyDescent="0.25">
      <c r="A828"/>
      <c r="B828"/>
      <c r="C828"/>
      <c r="D828" s="13"/>
      <c r="E828"/>
      <c r="F828"/>
      <c r="G828"/>
      <c r="H828"/>
    </row>
    <row r="829" spans="1:8" s="10" customFormat="1" ht="14.25" customHeight="1" x14ac:dyDescent="0.25">
      <c r="A829"/>
      <c r="B829"/>
      <c r="C829"/>
      <c r="D829" s="13"/>
      <c r="E829"/>
      <c r="F829"/>
      <c r="G829"/>
      <c r="H829"/>
    </row>
    <row r="830" spans="1:8" s="10" customFormat="1" ht="14.25" customHeight="1" x14ac:dyDescent="0.25">
      <c r="A830"/>
      <c r="B830"/>
      <c r="C830"/>
      <c r="D830" s="13"/>
      <c r="E830"/>
      <c r="F830"/>
      <c r="G830"/>
      <c r="H830"/>
    </row>
    <row r="831" spans="1:8" s="10" customFormat="1" ht="14.25" customHeight="1" x14ac:dyDescent="0.25">
      <c r="A831"/>
      <c r="B831"/>
      <c r="C831"/>
      <c r="D831" s="13"/>
      <c r="E831"/>
      <c r="F831"/>
      <c r="G831"/>
      <c r="H831"/>
    </row>
    <row r="832" spans="1:8" s="10" customFormat="1" ht="14.25" customHeight="1" x14ac:dyDescent="0.25">
      <c r="A832"/>
      <c r="B832"/>
      <c r="C832"/>
      <c r="D832" s="13"/>
      <c r="E832"/>
      <c r="F832"/>
      <c r="G832"/>
      <c r="H832"/>
    </row>
    <row r="833" spans="1:8" s="10" customFormat="1" ht="14.25" customHeight="1" x14ac:dyDescent="0.25">
      <c r="A833"/>
      <c r="B833"/>
      <c r="C833"/>
      <c r="D833" s="13"/>
      <c r="E833"/>
      <c r="F833"/>
      <c r="G833"/>
      <c r="H833"/>
    </row>
    <row r="834" spans="1:8" s="10" customFormat="1" ht="14.25" customHeight="1" x14ac:dyDescent="0.25">
      <c r="A834"/>
      <c r="B834"/>
      <c r="C834"/>
      <c r="D834" s="13"/>
      <c r="E834"/>
      <c r="F834"/>
      <c r="G834"/>
      <c r="H834"/>
    </row>
    <row r="835" spans="1:8" s="10" customFormat="1" ht="14.25" customHeight="1" x14ac:dyDescent="0.25">
      <c r="A835"/>
      <c r="B835"/>
      <c r="C835"/>
      <c r="D835" s="13"/>
      <c r="E835"/>
      <c r="F835"/>
      <c r="G835"/>
      <c r="H835"/>
    </row>
    <row r="836" spans="1:8" s="10" customFormat="1" ht="14.25" customHeight="1" x14ac:dyDescent="0.25">
      <c r="A836"/>
      <c r="B836"/>
      <c r="C836"/>
      <c r="D836" s="13"/>
      <c r="E836"/>
      <c r="F836"/>
      <c r="G836"/>
      <c r="H836"/>
    </row>
    <row r="837" spans="1:8" s="10" customFormat="1" ht="14.25" customHeight="1" x14ac:dyDescent="0.25">
      <c r="A837"/>
      <c r="B837"/>
      <c r="C837"/>
      <c r="D837" s="13"/>
      <c r="E837"/>
      <c r="F837"/>
      <c r="G837"/>
      <c r="H837"/>
    </row>
    <row r="838" spans="1:8" s="10" customFormat="1" ht="14.25" customHeight="1" x14ac:dyDescent="0.25">
      <c r="A838"/>
      <c r="B838"/>
      <c r="C838"/>
      <c r="D838" s="13"/>
      <c r="E838"/>
      <c r="F838"/>
      <c r="G838"/>
      <c r="H838"/>
    </row>
    <row r="839" spans="1:8" s="10" customFormat="1" ht="14.25" customHeight="1" x14ac:dyDescent="0.25">
      <c r="A839"/>
      <c r="B839"/>
      <c r="C839"/>
      <c r="D839" s="13"/>
      <c r="E839"/>
      <c r="F839"/>
      <c r="G839"/>
      <c r="H839"/>
    </row>
    <row r="840" spans="1:8" s="10" customFormat="1" ht="14.25" customHeight="1" x14ac:dyDescent="0.25">
      <c r="A840"/>
      <c r="B840"/>
      <c r="C840"/>
      <c r="D840" s="13"/>
      <c r="E840"/>
      <c r="F840"/>
      <c r="G840"/>
      <c r="H840"/>
    </row>
    <row r="841" spans="1:8" s="10" customFormat="1" ht="14.25" customHeight="1" x14ac:dyDescent="0.25">
      <c r="A841"/>
      <c r="B841"/>
      <c r="C841"/>
      <c r="D841" s="13"/>
      <c r="E841"/>
      <c r="F841"/>
      <c r="G841"/>
      <c r="H841"/>
    </row>
    <row r="842" spans="1:8" s="10" customFormat="1" ht="14.25" customHeight="1" x14ac:dyDescent="0.25">
      <c r="A842"/>
      <c r="B842"/>
      <c r="C842"/>
      <c r="D842" s="13"/>
      <c r="E842"/>
      <c r="F842"/>
      <c r="G842"/>
      <c r="H842"/>
    </row>
    <row r="843" spans="1:8" s="10" customFormat="1" ht="14.25" customHeight="1" x14ac:dyDescent="0.25">
      <c r="A843"/>
      <c r="B843"/>
      <c r="C843"/>
      <c r="D843" s="13"/>
      <c r="E843"/>
      <c r="F843"/>
      <c r="G843"/>
      <c r="H843"/>
    </row>
    <row r="844" spans="1:8" s="10" customFormat="1" ht="14.25" customHeight="1" x14ac:dyDescent="0.25">
      <c r="A844"/>
      <c r="B844"/>
      <c r="C844"/>
      <c r="D844" s="13"/>
      <c r="E844"/>
      <c r="F844"/>
      <c r="G844"/>
      <c r="H844"/>
    </row>
    <row r="845" spans="1:8" s="10" customFormat="1" ht="14.25" customHeight="1" x14ac:dyDescent="0.25">
      <c r="A845"/>
      <c r="B845"/>
      <c r="C845"/>
      <c r="D845" s="13"/>
      <c r="E845"/>
      <c r="F845"/>
      <c r="G845"/>
      <c r="H845"/>
    </row>
    <row r="846" spans="1:8" s="10" customFormat="1" ht="14.25" customHeight="1" x14ac:dyDescent="0.25">
      <c r="A846"/>
      <c r="B846"/>
      <c r="C846"/>
      <c r="D846" s="13"/>
      <c r="E846"/>
      <c r="F846"/>
      <c r="G846"/>
      <c r="H846"/>
    </row>
    <row r="847" spans="1:8" s="10" customFormat="1" ht="14.25" customHeight="1" x14ac:dyDescent="0.25">
      <c r="A847"/>
      <c r="B847"/>
      <c r="C847"/>
      <c r="D847" s="13"/>
      <c r="E847"/>
      <c r="F847"/>
      <c r="G847"/>
      <c r="H847"/>
    </row>
    <row r="848" spans="1:8" s="10" customFormat="1" ht="14.25" customHeight="1" x14ac:dyDescent="0.25">
      <c r="A848"/>
      <c r="B848"/>
      <c r="C848"/>
      <c r="D848" s="13"/>
      <c r="E848"/>
      <c r="F848"/>
      <c r="G848"/>
      <c r="H848"/>
    </row>
    <row r="849" spans="1:8" s="10" customFormat="1" ht="14.25" customHeight="1" x14ac:dyDescent="0.25">
      <c r="A849"/>
      <c r="B849"/>
      <c r="C849"/>
      <c r="D849" s="13"/>
      <c r="E849"/>
      <c r="F849"/>
      <c r="G849"/>
      <c r="H849"/>
    </row>
    <row r="850" spans="1:8" s="10" customFormat="1" ht="14.25" customHeight="1" x14ac:dyDescent="0.25">
      <c r="A850"/>
      <c r="B850"/>
      <c r="C850"/>
      <c r="D850" s="13"/>
      <c r="E850"/>
      <c r="F850"/>
      <c r="G850"/>
      <c r="H850"/>
    </row>
    <row r="851" spans="1:8" s="10" customFormat="1" ht="14.25" customHeight="1" x14ac:dyDescent="0.25">
      <c r="A851"/>
      <c r="B851"/>
      <c r="C851"/>
      <c r="D851" s="13"/>
      <c r="E851"/>
      <c r="F851"/>
      <c r="G851"/>
      <c r="H851"/>
    </row>
    <row r="852" spans="1:8" s="10" customFormat="1" ht="14.25" customHeight="1" x14ac:dyDescent="0.25">
      <c r="A852"/>
      <c r="B852"/>
      <c r="C852"/>
      <c r="D852" s="13"/>
      <c r="E852"/>
      <c r="F852"/>
      <c r="G852"/>
      <c r="H852"/>
    </row>
    <row r="853" spans="1:8" s="10" customFormat="1" ht="14.25" customHeight="1" x14ac:dyDescent="0.25">
      <c r="A853"/>
      <c r="B853"/>
      <c r="C853"/>
      <c r="D853" s="13"/>
      <c r="E853"/>
      <c r="F853"/>
      <c r="G853"/>
      <c r="H853"/>
    </row>
    <row r="854" spans="1:8" s="10" customFormat="1" ht="14.25" customHeight="1" x14ac:dyDescent="0.25">
      <c r="A854"/>
      <c r="B854"/>
      <c r="C854"/>
      <c r="D854" s="13"/>
      <c r="E854"/>
      <c r="F854"/>
      <c r="G854"/>
      <c r="H854"/>
    </row>
    <row r="855" spans="1:8" s="10" customFormat="1" ht="14.25" customHeight="1" x14ac:dyDescent="0.25">
      <c r="A855"/>
      <c r="B855"/>
      <c r="C855"/>
      <c r="D855" s="13"/>
      <c r="E855"/>
      <c r="F855"/>
      <c r="G855"/>
      <c r="H855"/>
    </row>
    <row r="856" spans="1:8" s="10" customFormat="1" ht="14.25" customHeight="1" x14ac:dyDescent="0.25">
      <c r="A856"/>
      <c r="B856"/>
      <c r="C856"/>
      <c r="D856" s="13"/>
      <c r="E856"/>
      <c r="F856"/>
      <c r="G856"/>
      <c r="H856"/>
    </row>
    <row r="857" spans="1:8" s="10" customFormat="1" ht="14.25" customHeight="1" x14ac:dyDescent="0.25">
      <c r="A857"/>
      <c r="B857"/>
      <c r="C857"/>
      <c r="D857" s="13"/>
      <c r="E857"/>
      <c r="F857"/>
      <c r="G857"/>
      <c r="H857"/>
    </row>
    <row r="858" spans="1:8" s="10" customFormat="1" ht="14.25" customHeight="1" x14ac:dyDescent="0.25">
      <c r="A858"/>
      <c r="B858"/>
      <c r="C858"/>
      <c r="D858" s="13"/>
      <c r="E858"/>
      <c r="F858"/>
      <c r="G858"/>
      <c r="H858"/>
    </row>
    <row r="859" spans="1:8" s="10" customFormat="1" ht="14.25" customHeight="1" x14ac:dyDescent="0.25">
      <c r="A859"/>
      <c r="B859"/>
      <c r="C859"/>
      <c r="D859" s="13"/>
      <c r="E859"/>
      <c r="F859"/>
      <c r="G859"/>
      <c r="H859"/>
    </row>
    <row r="860" spans="1:8" s="10" customFormat="1" ht="14.25" customHeight="1" x14ac:dyDescent="0.25">
      <c r="A860"/>
      <c r="B860"/>
      <c r="C860"/>
      <c r="D860" s="13"/>
      <c r="E860"/>
      <c r="F860"/>
      <c r="G860"/>
      <c r="H860"/>
    </row>
    <row r="861" spans="1:8" s="10" customFormat="1" ht="14.25" customHeight="1" x14ac:dyDescent="0.25">
      <c r="A861"/>
      <c r="B861"/>
      <c r="C861"/>
      <c r="D861" s="13"/>
      <c r="E861"/>
      <c r="F861"/>
      <c r="G861"/>
      <c r="H861"/>
    </row>
    <row r="862" spans="1:8" s="10" customFormat="1" ht="14.25" customHeight="1" x14ac:dyDescent="0.25">
      <c r="A862"/>
      <c r="B862"/>
      <c r="C862"/>
      <c r="D862" s="13"/>
      <c r="E862"/>
      <c r="F862"/>
      <c r="G862"/>
      <c r="H862"/>
    </row>
    <row r="863" spans="1:8" s="10" customFormat="1" ht="14.25" customHeight="1" x14ac:dyDescent="0.25">
      <c r="A863"/>
      <c r="B863"/>
      <c r="C863"/>
      <c r="D863" s="13"/>
      <c r="E863"/>
      <c r="F863"/>
      <c r="G863"/>
      <c r="H863"/>
    </row>
    <row r="864" spans="1:8" s="10" customFormat="1" ht="14.25" customHeight="1" x14ac:dyDescent="0.25">
      <c r="A864"/>
      <c r="B864"/>
      <c r="C864"/>
      <c r="D864" s="13"/>
      <c r="E864"/>
      <c r="F864"/>
      <c r="G864"/>
      <c r="H864"/>
    </row>
    <row r="865" spans="1:8" s="10" customFormat="1" ht="14.25" customHeight="1" x14ac:dyDescent="0.25">
      <c r="A865"/>
      <c r="B865"/>
      <c r="C865"/>
      <c r="D865" s="13"/>
      <c r="E865"/>
      <c r="F865"/>
      <c r="G865"/>
      <c r="H865"/>
    </row>
    <row r="866" spans="1:8" s="10" customFormat="1" ht="14.25" customHeight="1" x14ac:dyDescent="0.25">
      <c r="A866"/>
      <c r="B866"/>
      <c r="C866"/>
      <c r="D866" s="13"/>
      <c r="E866"/>
      <c r="F866"/>
      <c r="G866"/>
      <c r="H866"/>
    </row>
    <row r="867" spans="1:8" s="10" customFormat="1" ht="14.25" customHeight="1" x14ac:dyDescent="0.25">
      <c r="A867"/>
      <c r="B867"/>
      <c r="C867"/>
      <c r="D867" s="13"/>
      <c r="E867"/>
      <c r="F867"/>
      <c r="G867"/>
      <c r="H867"/>
    </row>
    <row r="868" spans="1:8" s="10" customFormat="1" ht="14.25" customHeight="1" x14ac:dyDescent="0.25">
      <c r="A868"/>
      <c r="B868"/>
      <c r="C868"/>
      <c r="D868" s="13"/>
      <c r="E868"/>
      <c r="F868"/>
      <c r="G868"/>
      <c r="H868"/>
    </row>
    <row r="869" spans="1:8" s="10" customFormat="1" ht="14.25" customHeight="1" x14ac:dyDescent="0.25">
      <c r="A869"/>
      <c r="B869"/>
      <c r="C869"/>
      <c r="D869" s="13"/>
      <c r="E869"/>
      <c r="F869"/>
      <c r="G869"/>
      <c r="H869"/>
    </row>
    <row r="870" spans="1:8" s="10" customFormat="1" ht="14.25" customHeight="1" x14ac:dyDescent="0.25">
      <c r="A870"/>
      <c r="B870"/>
      <c r="C870"/>
      <c r="D870" s="13"/>
      <c r="E870"/>
      <c r="F870"/>
      <c r="G870"/>
      <c r="H870"/>
    </row>
    <row r="871" spans="1:8" s="10" customFormat="1" ht="14.25" customHeight="1" x14ac:dyDescent="0.25">
      <c r="A871"/>
      <c r="B871"/>
      <c r="C871"/>
      <c r="D871" s="13"/>
      <c r="E871"/>
      <c r="F871"/>
      <c r="G871"/>
      <c r="H871"/>
    </row>
    <row r="872" spans="1:8" s="10" customFormat="1" ht="14.25" customHeight="1" x14ac:dyDescent="0.25">
      <c r="A872"/>
      <c r="B872"/>
      <c r="C872"/>
      <c r="D872" s="13"/>
      <c r="E872"/>
      <c r="F872"/>
      <c r="G872"/>
      <c r="H872"/>
    </row>
    <row r="873" spans="1:8" s="10" customFormat="1" ht="14.25" customHeight="1" x14ac:dyDescent="0.25">
      <c r="A873"/>
      <c r="B873"/>
      <c r="C873"/>
      <c r="D873" s="13"/>
      <c r="E873"/>
      <c r="F873"/>
      <c r="G873"/>
      <c r="H873"/>
    </row>
    <row r="874" spans="1:8" s="10" customFormat="1" ht="14.25" customHeight="1" x14ac:dyDescent="0.25">
      <c r="A874"/>
      <c r="B874"/>
      <c r="C874"/>
      <c r="D874" s="13"/>
      <c r="E874"/>
      <c r="F874"/>
      <c r="G874"/>
      <c r="H874"/>
    </row>
    <row r="875" spans="1:8" s="10" customFormat="1" ht="14.25" customHeight="1" x14ac:dyDescent="0.25">
      <c r="A875"/>
      <c r="B875"/>
      <c r="C875"/>
      <c r="D875" s="13"/>
      <c r="E875"/>
      <c r="F875"/>
      <c r="G875"/>
      <c r="H875"/>
    </row>
    <row r="876" spans="1:8" s="10" customFormat="1" ht="14.25" customHeight="1" x14ac:dyDescent="0.25">
      <c r="A876"/>
      <c r="B876"/>
      <c r="C876"/>
      <c r="D876" s="13"/>
      <c r="E876"/>
      <c r="F876"/>
      <c r="G876"/>
      <c r="H876"/>
    </row>
    <row r="877" spans="1:8" s="10" customFormat="1" ht="14.25" customHeight="1" x14ac:dyDescent="0.25">
      <c r="A877"/>
      <c r="B877"/>
      <c r="C877"/>
      <c r="D877" s="13"/>
      <c r="E877"/>
      <c r="F877"/>
      <c r="G877"/>
      <c r="H877"/>
    </row>
    <row r="878" spans="1:8" s="10" customFormat="1" ht="14.25" customHeight="1" x14ac:dyDescent="0.25">
      <c r="A878"/>
      <c r="B878"/>
      <c r="C878"/>
      <c r="D878" s="13"/>
      <c r="E878"/>
      <c r="F878"/>
      <c r="G878"/>
      <c r="H878"/>
    </row>
    <row r="879" spans="1:8" s="10" customFormat="1" ht="14.25" customHeight="1" x14ac:dyDescent="0.25">
      <c r="A879"/>
      <c r="B879"/>
      <c r="C879"/>
      <c r="D879" s="13"/>
      <c r="E879"/>
      <c r="F879"/>
      <c r="G879"/>
      <c r="H879"/>
    </row>
    <row r="880" spans="1:8" s="10" customFormat="1" ht="14.25" customHeight="1" x14ac:dyDescent="0.25">
      <c r="A880"/>
      <c r="B880"/>
      <c r="C880"/>
      <c r="D880" s="13"/>
      <c r="E880"/>
      <c r="F880"/>
      <c r="G880"/>
      <c r="H880"/>
    </row>
    <row r="881" spans="1:8" s="10" customFormat="1" ht="14.25" customHeight="1" x14ac:dyDescent="0.25">
      <c r="A881"/>
      <c r="B881"/>
      <c r="C881"/>
      <c r="D881" s="13"/>
      <c r="E881"/>
      <c r="F881"/>
      <c r="G881"/>
      <c r="H881"/>
    </row>
    <row r="882" spans="1:8" s="10" customFormat="1" ht="14.25" customHeight="1" x14ac:dyDescent="0.25">
      <c r="A882"/>
      <c r="B882"/>
      <c r="C882"/>
      <c r="D882" s="13"/>
      <c r="E882"/>
      <c r="F882"/>
      <c r="G882"/>
      <c r="H882"/>
    </row>
    <row r="883" spans="1:8" s="10" customFormat="1" ht="14.25" customHeight="1" x14ac:dyDescent="0.25">
      <c r="A883"/>
      <c r="B883"/>
      <c r="C883"/>
      <c r="D883" s="13"/>
      <c r="E883"/>
      <c r="F883"/>
      <c r="G883"/>
      <c r="H883"/>
    </row>
    <row r="884" spans="1:8" s="10" customFormat="1" ht="14.25" customHeight="1" x14ac:dyDescent="0.25">
      <c r="A884"/>
      <c r="B884"/>
      <c r="C884"/>
      <c r="D884" s="13"/>
      <c r="E884"/>
      <c r="F884"/>
      <c r="G884"/>
      <c r="H884"/>
    </row>
    <row r="885" spans="1:8" s="10" customFormat="1" ht="14.25" customHeight="1" x14ac:dyDescent="0.25">
      <c r="A885"/>
      <c r="B885"/>
      <c r="C885"/>
      <c r="D885" s="13"/>
      <c r="E885"/>
      <c r="F885"/>
      <c r="G885"/>
      <c r="H885"/>
    </row>
    <row r="886" spans="1:8" s="10" customFormat="1" ht="14.25" customHeight="1" x14ac:dyDescent="0.25">
      <c r="A886"/>
      <c r="B886"/>
      <c r="C886"/>
      <c r="D886" s="13"/>
      <c r="E886"/>
      <c r="F886"/>
      <c r="G886"/>
      <c r="H886"/>
    </row>
    <row r="887" spans="1:8" s="10" customFormat="1" ht="14.25" customHeight="1" x14ac:dyDescent="0.25">
      <c r="A887"/>
      <c r="B887"/>
      <c r="C887"/>
      <c r="D887" s="13"/>
      <c r="E887"/>
      <c r="F887"/>
      <c r="G887"/>
      <c r="H887"/>
    </row>
    <row r="888" spans="1:8" s="10" customFormat="1" ht="14.25" customHeight="1" x14ac:dyDescent="0.25">
      <c r="A888"/>
      <c r="B888"/>
      <c r="C888"/>
      <c r="D888" s="13"/>
      <c r="E888"/>
      <c r="F888"/>
      <c r="G888"/>
      <c r="H888"/>
    </row>
    <row r="889" spans="1:8" s="10" customFormat="1" ht="14.25" customHeight="1" x14ac:dyDescent="0.25">
      <c r="A889"/>
      <c r="B889"/>
      <c r="C889"/>
      <c r="D889" s="13"/>
      <c r="E889"/>
      <c r="F889"/>
      <c r="G889"/>
      <c r="H889"/>
    </row>
    <row r="890" spans="1:8" s="10" customFormat="1" ht="14.25" customHeight="1" x14ac:dyDescent="0.25">
      <c r="A890"/>
      <c r="B890"/>
      <c r="C890"/>
      <c r="D890" s="13"/>
      <c r="E890"/>
      <c r="F890"/>
      <c r="G890"/>
      <c r="H890"/>
    </row>
    <row r="891" spans="1:8" s="10" customFormat="1" ht="14.25" customHeight="1" x14ac:dyDescent="0.25">
      <c r="A891"/>
      <c r="B891"/>
      <c r="C891"/>
      <c r="D891" s="13"/>
      <c r="E891"/>
      <c r="F891"/>
      <c r="G891"/>
      <c r="H891"/>
    </row>
    <row r="892" spans="1:8" s="10" customFormat="1" ht="14.25" customHeight="1" x14ac:dyDescent="0.25">
      <c r="A892"/>
      <c r="B892"/>
      <c r="C892"/>
      <c r="D892" s="13"/>
      <c r="E892"/>
      <c r="F892"/>
      <c r="G892"/>
      <c r="H892"/>
    </row>
    <row r="893" spans="1:8" s="10" customFormat="1" ht="14.25" customHeight="1" x14ac:dyDescent="0.25">
      <c r="A893"/>
      <c r="B893"/>
      <c r="C893"/>
      <c r="D893" s="13"/>
      <c r="E893"/>
      <c r="F893"/>
      <c r="G893"/>
      <c r="H893"/>
    </row>
    <row r="894" spans="1:8" s="10" customFormat="1" ht="14.25" customHeight="1" x14ac:dyDescent="0.25">
      <c r="A894"/>
      <c r="B894"/>
      <c r="C894"/>
      <c r="D894" s="13"/>
      <c r="E894"/>
      <c r="F894"/>
      <c r="G894"/>
      <c r="H894"/>
    </row>
  </sheetData>
  <mergeCells count="2">
    <mergeCell ref="H4:H54"/>
    <mergeCell ref="H55:H61"/>
  </mergeCells>
  <dataValidations count="1">
    <dataValidation type="list" allowBlank="1" sqref="A4:A62" xr:uid="{BB1E4F84-B475-409F-9850-C6CE3C914249}">
      <formula1>"RAB,REGULER"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D7BC3-377E-4F49-A89D-E8BE031B783C}">
  <dimension ref="A1:H184"/>
  <sheetViews>
    <sheetView topLeftCell="A127" workbookViewId="0">
      <selection activeCell="J6" sqref="J6"/>
    </sheetView>
  </sheetViews>
  <sheetFormatPr defaultRowHeight="15" x14ac:dyDescent="0.25"/>
  <cols>
    <col min="1" max="1" width="36.28515625" bestFit="1" customWidth="1"/>
    <col min="2" max="2" width="8.7109375" bestFit="1" customWidth="1"/>
    <col min="3" max="3" width="11.140625" bestFit="1" customWidth="1"/>
    <col min="4" max="4" width="62.5703125" bestFit="1" customWidth="1"/>
    <col min="5" max="5" width="8.42578125" bestFit="1" customWidth="1"/>
    <col min="6" max="7" width="4" bestFit="1" customWidth="1"/>
    <col min="8" max="8" width="8.42578125" bestFit="1" customWidth="1"/>
  </cols>
  <sheetData>
    <row r="1" spans="1:8" x14ac:dyDescent="0.25">
      <c r="A1" s="22"/>
      <c r="B1" s="23" t="str">
        <f>IF(ISNUMBER(MATCH([1]!Tabel14[[#This Row],[ITEM ID]],'[1]REFERENSI RAB'!A:A,0)),"RAB","REGULER")</f>
        <v>REGULER</v>
      </c>
      <c r="C1" s="24" t="s">
        <v>135</v>
      </c>
      <c r="D1" s="25" t="s">
        <v>136</v>
      </c>
      <c r="E1" s="26" t="s">
        <v>9</v>
      </c>
      <c r="F1" s="26" t="s">
        <v>137</v>
      </c>
      <c r="G1" s="27">
        <v>16</v>
      </c>
      <c r="H1" s="28" t="e">
        <f>[1]!Tabel14[[#This Row],[STOCK ACTUAL]]-[1]!Tabel14[[#This Row],[STOCK SISTEM]]</f>
        <v>#VALUE!</v>
      </c>
    </row>
    <row r="2" spans="1:8" x14ac:dyDescent="0.25">
      <c r="A2" s="22"/>
      <c r="B2" s="23" t="str">
        <f>IF(ISNUMBER(MATCH([1]!Tabel14[[#This Row],[ITEM ID]],'[1]REFERENSI RAB'!A:A,0)),"RAB","REGULER")</f>
        <v>REGULER</v>
      </c>
      <c r="C2" s="24" t="s">
        <v>138</v>
      </c>
      <c r="D2" s="29" t="s">
        <v>139</v>
      </c>
      <c r="E2" s="26" t="s">
        <v>9</v>
      </c>
      <c r="F2" s="26" t="s">
        <v>140</v>
      </c>
      <c r="G2" s="30">
        <v>7</v>
      </c>
      <c r="H2" s="28" t="e">
        <f>[1]!Tabel14[[#This Row],[STOCK ACTUAL]]-[1]!Tabel14[[#This Row],[STOCK SISTEM]]</f>
        <v>#VALUE!</v>
      </c>
    </row>
    <row r="3" spans="1:8" x14ac:dyDescent="0.25">
      <c r="A3" s="22"/>
      <c r="B3" s="23" t="str">
        <f>IF(ISNUMBER(MATCH([1]!Tabel14[[#This Row],[ITEM ID]],'[1]REFERENSI RAB'!A:A,0)),"RAB","REGULER")</f>
        <v>REGULER</v>
      </c>
      <c r="C3" s="24" t="s">
        <v>118</v>
      </c>
      <c r="D3" s="29" t="s">
        <v>119</v>
      </c>
      <c r="E3" s="26" t="s">
        <v>9</v>
      </c>
      <c r="F3" s="26" t="s">
        <v>141</v>
      </c>
      <c r="G3" s="30">
        <v>0</v>
      </c>
      <c r="H3" s="28" t="e">
        <f>[1]!Tabel14[[#This Row],[STOCK ACTUAL]]-[1]!Tabel14[[#This Row],[STOCK SISTEM]]</f>
        <v>#VALUE!</v>
      </c>
    </row>
    <row r="4" spans="1:8" x14ac:dyDescent="0.25">
      <c r="A4" s="22" t="s">
        <v>142</v>
      </c>
      <c r="B4" s="23" t="str">
        <f>IF(ISNUMBER(MATCH([1]!Tabel14[[#This Row],[ITEM ID]],'[1]REFERENSI RAB'!A:A,0)),"RAB","REGULER")</f>
        <v>RAB</v>
      </c>
      <c r="C4" s="24" t="s">
        <v>143</v>
      </c>
      <c r="D4" s="29" t="s">
        <v>144</v>
      </c>
      <c r="E4" s="26" t="s">
        <v>9</v>
      </c>
      <c r="F4" s="26" t="s">
        <v>145</v>
      </c>
      <c r="G4" s="30">
        <v>2</v>
      </c>
      <c r="H4" s="28">
        <f>[1]!Tabel14[[#This Row],[STOCK ACTUAL]]-[1]!Tabel14[[#This Row],[STOCK SISTEM]]</f>
        <v>0</v>
      </c>
    </row>
    <row r="5" spans="1:8" x14ac:dyDescent="0.25">
      <c r="A5" s="22"/>
      <c r="B5" s="23" t="str">
        <f>IF(ISNUMBER(MATCH([1]!Tabel14[[#This Row],[ITEM ID]],'[1]REFERENSI RAB'!A:A,0)),"RAB","REGULER")</f>
        <v>RAB</v>
      </c>
      <c r="C5" s="24" t="s">
        <v>146</v>
      </c>
      <c r="D5" s="29" t="s">
        <v>147</v>
      </c>
      <c r="E5" s="26" t="s">
        <v>9</v>
      </c>
      <c r="F5" s="26" t="s">
        <v>141</v>
      </c>
      <c r="G5" s="30">
        <v>0</v>
      </c>
      <c r="H5" s="28">
        <f>[1]!Tabel14[[#This Row],[STOCK ACTUAL]]-[1]!Tabel14[[#This Row],[STOCK SISTEM]]</f>
        <v>0</v>
      </c>
    </row>
    <row r="6" spans="1:8" x14ac:dyDescent="0.25">
      <c r="A6" s="22"/>
      <c r="B6" s="23" t="str">
        <f>IF(ISNUMBER(MATCH([1]!Tabel14[[#This Row],[ITEM ID]],'[1]REFERENSI RAB'!A:A,0)),"RAB","REGULER")</f>
        <v>RAB</v>
      </c>
      <c r="C6" s="24" t="s">
        <v>148</v>
      </c>
      <c r="D6" s="29" t="s">
        <v>149</v>
      </c>
      <c r="E6" s="26" t="s">
        <v>9</v>
      </c>
      <c r="F6" s="26" t="s">
        <v>150</v>
      </c>
      <c r="G6" s="30">
        <v>6</v>
      </c>
      <c r="H6" s="28">
        <f>[1]!Tabel14[[#This Row],[STOCK ACTUAL]]-[1]!Tabel14[[#This Row],[STOCK SISTEM]]</f>
        <v>0</v>
      </c>
    </row>
    <row r="7" spans="1:8" x14ac:dyDescent="0.25">
      <c r="A7" s="22"/>
      <c r="B7" s="23" t="str">
        <f>IF(ISNUMBER(MATCH([1]!Tabel14[[#This Row],[ITEM ID]],'[1]REFERENSI RAB'!A:A,0)),"RAB","REGULER")</f>
        <v>RAB</v>
      </c>
      <c r="C7" s="24" t="s">
        <v>151</v>
      </c>
      <c r="D7" s="29" t="s">
        <v>152</v>
      </c>
      <c r="E7" s="26" t="s">
        <v>9</v>
      </c>
      <c r="F7" s="26" t="s">
        <v>153</v>
      </c>
      <c r="G7" s="30">
        <v>4</v>
      </c>
      <c r="H7" s="28">
        <f>[1]!Tabel14[[#This Row],[STOCK ACTUAL]]-[1]!Tabel14[[#This Row],[STOCK SISTEM]]</f>
        <v>0</v>
      </c>
    </row>
    <row r="8" spans="1:8" x14ac:dyDescent="0.25">
      <c r="A8" s="31"/>
      <c r="B8" s="23" t="str">
        <f>IF(ISNUMBER(MATCH([1]!Tabel14[[#This Row],[ITEM ID]],'[1]REFERENSI RAB'!A:A,0)),"RAB","REGULER")</f>
        <v>REGULER</v>
      </c>
      <c r="C8" s="24" t="s">
        <v>154</v>
      </c>
      <c r="D8" s="29" t="s">
        <v>155</v>
      </c>
      <c r="E8" s="26" t="s">
        <v>9</v>
      </c>
      <c r="F8" s="26" t="s">
        <v>153</v>
      </c>
      <c r="G8" s="30">
        <v>4</v>
      </c>
      <c r="H8" s="28">
        <f>[1]!Tabel14[[#This Row],[STOCK ACTUAL]]-[1]!Tabel14[[#This Row],[STOCK SISTEM]]</f>
        <v>0</v>
      </c>
    </row>
    <row r="9" spans="1:8" x14ac:dyDescent="0.25">
      <c r="A9" s="22"/>
      <c r="B9" s="23" t="str">
        <f>IF(ISNUMBER(MATCH([1]!Tabel14[[#This Row],[ITEM ID]],'[1]REFERENSI RAB'!A:A,0)),"RAB","REGULER")</f>
        <v>REGULER</v>
      </c>
      <c r="C9" s="24" t="s">
        <v>156</v>
      </c>
      <c r="D9" s="29" t="s">
        <v>157</v>
      </c>
      <c r="E9" s="26" t="s">
        <v>9</v>
      </c>
      <c r="F9" s="26" t="s">
        <v>141</v>
      </c>
      <c r="G9" s="30">
        <v>0</v>
      </c>
      <c r="H9" s="28">
        <f>[1]!Tabel14[[#This Row],[STOCK ACTUAL]]-[1]!Tabel14[[#This Row],[STOCK SISTEM]]</f>
        <v>0</v>
      </c>
    </row>
    <row r="10" spans="1:8" x14ac:dyDescent="0.25">
      <c r="A10" s="22" t="s">
        <v>158</v>
      </c>
      <c r="B10" s="23" t="str">
        <f>IF(ISNUMBER(MATCH([1]!Tabel14[[#This Row],[ITEM ID]],'[1]REFERENSI RAB'!A:A,0)),"RAB","REGULER")</f>
        <v>REGULER</v>
      </c>
      <c r="C10" s="24" t="s">
        <v>120</v>
      </c>
      <c r="D10" s="29" t="s">
        <v>121</v>
      </c>
      <c r="E10" s="26" t="s">
        <v>9</v>
      </c>
      <c r="F10" s="26" t="s">
        <v>141</v>
      </c>
      <c r="G10" s="30">
        <v>0</v>
      </c>
      <c r="H10" s="28">
        <f>[1]!Tabel14[[#This Row],[STOCK ACTUAL]]-[1]!Tabel14[[#This Row],[STOCK SISTEM]]</f>
        <v>0</v>
      </c>
    </row>
    <row r="11" spans="1:8" x14ac:dyDescent="0.25">
      <c r="A11" s="22"/>
      <c r="B11" s="23" t="str">
        <f>IF(ISNUMBER(MATCH([1]!Tabel14[[#This Row],[ITEM ID]],'[1]REFERENSI RAB'!A:A,0)),"RAB","REGULER")</f>
        <v>REGULER</v>
      </c>
      <c r="C11" s="24" t="s">
        <v>159</v>
      </c>
      <c r="D11" s="29" t="s">
        <v>160</v>
      </c>
      <c r="E11" s="26" t="s">
        <v>9</v>
      </c>
      <c r="F11" s="26" t="s">
        <v>150</v>
      </c>
      <c r="G11" s="30">
        <v>6</v>
      </c>
      <c r="H11" s="28">
        <f>[1]!Tabel14[[#This Row],[STOCK ACTUAL]]-[1]!Tabel14[[#This Row],[STOCK SISTEM]]</f>
        <v>0</v>
      </c>
    </row>
    <row r="12" spans="1:8" x14ac:dyDescent="0.25">
      <c r="A12" s="31"/>
      <c r="B12" s="23" t="str">
        <f>IF(ISNUMBER(MATCH([1]!Tabel14[[#This Row],[ITEM ID]],'[1]REFERENSI RAB'!A:A,0)),"RAB","REGULER")</f>
        <v>RAB</v>
      </c>
      <c r="C12" s="24" t="s">
        <v>161</v>
      </c>
      <c r="D12" s="29" t="s">
        <v>162</v>
      </c>
      <c r="E12" s="26" t="s">
        <v>9</v>
      </c>
      <c r="F12" s="26" t="s">
        <v>150</v>
      </c>
      <c r="G12" s="30">
        <v>6</v>
      </c>
      <c r="H12" s="28">
        <f>[1]!Tabel14[[#This Row],[STOCK ACTUAL]]-[1]!Tabel14[[#This Row],[STOCK SISTEM]]</f>
        <v>0</v>
      </c>
    </row>
    <row r="13" spans="1:8" x14ac:dyDescent="0.25">
      <c r="A13" s="32"/>
      <c r="B13" s="23" t="str">
        <f>IF(ISNUMBER(MATCH([1]!Tabel14[[#This Row],[ITEM ID]],'[1]REFERENSI RAB'!A:A,0)),"RAB","REGULER")</f>
        <v>RAB</v>
      </c>
      <c r="C13" s="24" t="s">
        <v>163</v>
      </c>
      <c r="D13" s="29" t="s">
        <v>164</v>
      </c>
      <c r="E13" s="26" t="s">
        <v>9</v>
      </c>
      <c r="F13" s="26" t="s">
        <v>140</v>
      </c>
      <c r="G13" s="30">
        <v>7</v>
      </c>
      <c r="H13" s="28">
        <f>[1]!Tabel14[[#This Row],[STOCK ACTUAL]]-[1]!Tabel14[[#This Row],[STOCK SISTEM]]</f>
        <v>0</v>
      </c>
    </row>
    <row r="14" spans="1:8" x14ac:dyDescent="0.25">
      <c r="A14" s="32"/>
      <c r="B14" s="23" t="str">
        <f>IF(ISNUMBER(MATCH([1]!Tabel14[[#This Row],[ITEM ID]],'[1]REFERENSI RAB'!A:A,0)),"RAB","REGULER")</f>
        <v>RAB</v>
      </c>
      <c r="C14" s="24" t="s">
        <v>165</v>
      </c>
      <c r="D14" s="29" t="s">
        <v>166</v>
      </c>
      <c r="E14" s="26" t="s">
        <v>9</v>
      </c>
      <c r="F14" s="26" t="s">
        <v>167</v>
      </c>
      <c r="G14" s="30">
        <v>5</v>
      </c>
      <c r="H14" s="28">
        <f>[1]!Tabel14[[#This Row],[STOCK ACTUAL]]-[1]!Tabel14[[#This Row],[STOCK SISTEM]]</f>
        <v>0</v>
      </c>
    </row>
    <row r="15" spans="1:8" x14ac:dyDescent="0.25">
      <c r="A15" s="32"/>
      <c r="B15" s="23" t="str">
        <f>IF(ISNUMBER(MATCH([1]!Tabel14[[#This Row],[ITEM ID]],'[1]REFERENSI RAB'!A:A,0)),"RAB","REGULER")</f>
        <v>RAB</v>
      </c>
      <c r="C15" s="24" t="s">
        <v>168</v>
      </c>
      <c r="D15" s="29" t="s">
        <v>169</v>
      </c>
      <c r="E15" s="26" t="s">
        <v>9</v>
      </c>
      <c r="F15" s="26" t="s">
        <v>145</v>
      </c>
      <c r="G15" s="30">
        <v>2</v>
      </c>
      <c r="H15" s="28">
        <f>[1]!Tabel14[[#This Row],[STOCK ACTUAL]]-[1]!Tabel14[[#This Row],[STOCK SISTEM]]</f>
        <v>0</v>
      </c>
    </row>
    <row r="16" spans="1:8" x14ac:dyDescent="0.25">
      <c r="A16" s="32"/>
      <c r="B16" s="23" t="str">
        <f>IF(ISNUMBER(MATCH([1]!Tabel14[[#This Row],[ITEM ID]],'[1]REFERENSI RAB'!A:A,0)),"RAB","REGULER")</f>
        <v>RAB</v>
      </c>
      <c r="C16" s="33" t="s">
        <v>170</v>
      </c>
      <c r="D16" s="29" t="s">
        <v>171</v>
      </c>
      <c r="E16" s="26" t="s">
        <v>9</v>
      </c>
      <c r="F16" s="26" t="s">
        <v>172</v>
      </c>
      <c r="G16" s="30">
        <v>1</v>
      </c>
      <c r="H16" s="28">
        <f>[1]!Tabel14[[#This Row],[STOCK ACTUAL]]-[1]!Tabel14[[#This Row],[STOCK SISTEM]]</f>
        <v>0</v>
      </c>
    </row>
    <row r="17" spans="1:8" x14ac:dyDescent="0.25">
      <c r="A17" s="32"/>
      <c r="B17" s="23" t="str">
        <f>IF(ISNUMBER(MATCH([1]!Tabel14[[#This Row],[ITEM ID]],'[1]REFERENSI RAB'!A:A,0)),"RAB","REGULER")</f>
        <v>RAB</v>
      </c>
      <c r="C17" s="24" t="s">
        <v>122</v>
      </c>
      <c r="D17" s="29" t="s">
        <v>123</v>
      </c>
      <c r="E17" s="26" t="s">
        <v>9</v>
      </c>
      <c r="F17" s="26" t="s">
        <v>141</v>
      </c>
      <c r="G17" s="30">
        <v>0</v>
      </c>
      <c r="H17" s="28">
        <f>[1]!Tabel14[[#This Row],[STOCK ACTUAL]]-[1]!Tabel14[[#This Row],[STOCK SISTEM]]</f>
        <v>0</v>
      </c>
    </row>
    <row r="18" spans="1:8" x14ac:dyDescent="0.25">
      <c r="A18" s="32"/>
      <c r="B18" s="23" t="str">
        <f>IF(ISNUMBER(MATCH([1]!Tabel14[[#This Row],[ITEM ID]],'[1]REFERENSI RAB'!A:A,0)),"RAB","REGULER")</f>
        <v>RAB</v>
      </c>
      <c r="C18" s="24" t="s">
        <v>173</v>
      </c>
      <c r="D18" s="29" t="s">
        <v>174</v>
      </c>
      <c r="E18" s="26" t="s">
        <v>31</v>
      </c>
      <c r="F18" s="26" t="s">
        <v>172</v>
      </c>
      <c r="G18" s="30">
        <v>1</v>
      </c>
      <c r="H18" s="28">
        <f>[1]!Tabel14[[#This Row],[STOCK ACTUAL]]-[1]!Tabel14[[#This Row],[STOCK SISTEM]]</f>
        <v>0</v>
      </c>
    </row>
    <row r="19" spans="1:8" x14ac:dyDescent="0.25">
      <c r="A19" s="22" t="s">
        <v>175</v>
      </c>
      <c r="B19" s="23" t="str">
        <f>IF(ISNUMBER(MATCH([1]!Tabel14[[#This Row],[ITEM ID]],'[1]REFERENSI RAB'!A:A,0)),"RAB","REGULER")</f>
        <v>RAB</v>
      </c>
      <c r="C19" s="24" t="s">
        <v>176</v>
      </c>
      <c r="D19" s="29" t="s">
        <v>177</v>
      </c>
      <c r="E19" s="26" t="s">
        <v>9</v>
      </c>
      <c r="F19" s="26" t="s">
        <v>178</v>
      </c>
      <c r="G19" s="30">
        <v>10</v>
      </c>
      <c r="H19" s="28">
        <f>[1]!Tabel14[[#This Row],[STOCK ACTUAL]]-[1]!Tabel14[[#This Row],[STOCK SISTEM]]</f>
        <v>0</v>
      </c>
    </row>
    <row r="20" spans="1:8" x14ac:dyDescent="0.25">
      <c r="A20" s="32"/>
      <c r="B20" s="23" t="str">
        <f>IF(ISNUMBER(MATCH([1]!Tabel14[[#This Row],[ITEM ID]],'[1]REFERENSI RAB'!A:A,0)),"RAB","REGULER")</f>
        <v>RAB</v>
      </c>
      <c r="C20" s="33" t="s">
        <v>179</v>
      </c>
      <c r="D20" s="34" t="s">
        <v>180</v>
      </c>
      <c r="E20" s="26" t="s">
        <v>9</v>
      </c>
      <c r="F20" s="26" t="s">
        <v>141</v>
      </c>
      <c r="G20" s="30">
        <v>0</v>
      </c>
      <c r="H20" s="28">
        <f>[1]!Tabel14[[#This Row],[STOCK ACTUAL]]-[1]!Tabel14[[#This Row],[STOCK SISTEM]]</f>
        <v>0</v>
      </c>
    </row>
    <row r="21" spans="1:8" x14ac:dyDescent="0.25">
      <c r="A21" s="32"/>
      <c r="B21" s="23" t="str">
        <f>IF(ISNUMBER(MATCH([1]!Tabel14[[#This Row],[ITEM ID]],'[1]REFERENSI RAB'!A:A,0)),"RAB","REGULER")</f>
        <v>REGULER</v>
      </c>
      <c r="C21" s="33" t="s">
        <v>181</v>
      </c>
      <c r="D21" s="34" t="s">
        <v>182</v>
      </c>
      <c r="E21" s="26" t="s">
        <v>9</v>
      </c>
      <c r="F21" s="26" t="s">
        <v>141</v>
      </c>
      <c r="G21" s="30">
        <v>0</v>
      </c>
      <c r="H21" s="28">
        <f>[1]!Tabel14[[#This Row],[STOCK ACTUAL]]-[1]!Tabel14[[#This Row],[STOCK SISTEM]]</f>
        <v>0</v>
      </c>
    </row>
    <row r="22" spans="1:8" x14ac:dyDescent="0.25">
      <c r="A22" s="32"/>
      <c r="B22" s="23" t="str">
        <f>IF(ISNUMBER(MATCH([1]!Tabel14[[#This Row],[ITEM ID]],'[1]REFERENSI RAB'!A:A,0)),"RAB","REGULER")</f>
        <v>REGULER</v>
      </c>
      <c r="C22" s="35" t="s">
        <v>183</v>
      </c>
      <c r="D22" s="34" t="s">
        <v>184</v>
      </c>
      <c r="E22" s="26" t="s">
        <v>9</v>
      </c>
      <c r="F22" s="26" t="s">
        <v>145</v>
      </c>
      <c r="G22" s="30">
        <v>2</v>
      </c>
      <c r="H22" s="28">
        <f>[1]!Tabel14[[#This Row],[STOCK ACTUAL]]-[1]!Tabel14[[#This Row],[STOCK SISTEM]]</f>
        <v>0</v>
      </c>
    </row>
    <row r="23" spans="1:8" x14ac:dyDescent="0.25">
      <c r="A23" s="32"/>
      <c r="B23" s="23" t="str">
        <f>IF(ISNUMBER(MATCH([1]!Tabel14[[#This Row],[ITEM ID]],'[1]REFERENSI RAB'!A:A,0)),"RAB","REGULER")</f>
        <v>RAB</v>
      </c>
      <c r="C23" s="24" t="s">
        <v>185</v>
      </c>
      <c r="D23" s="29" t="s">
        <v>186</v>
      </c>
      <c r="E23" s="26" t="s">
        <v>9</v>
      </c>
      <c r="F23" s="26" t="s">
        <v>187</v>
      </c>
      <c r="G23" s="30">
        <v>3</v>
      </c>
      <c r="H23" s="28">
        <f>[1]!Tabel14[[#This Row],[STOCK ACTUAL]]-[1]!Tabel14[[#This Row],[STOCK SISTEM]]</f>
        <v>0</v>
      </c>
    </row>
    <row r="24" spans="1:8" x14ac:dyDescent="0.25">
      <c r="A24" s="32"/>
      <c r="B24" s="23" t="str">
        <f>IF(ISNUMBER(MATCH([1]!Tabel14[[#This Row],[ITEM ID]],'[1]REFERENSI RAB'!A:A,0)),"RAB","REGULER")</f>
        <v>RAB</v>
      </c>
      <c r="C24" s="35" t="s">
        <v>188</v>
      </c>
      <c r="D24" s="34" t="s">
        <v>189</v>
      </c>
      <c r="E24" s="26" t="s">
        <v>9</v>
      </c>
      <c r="F24" s="26" t="s">
        <v>187</v>
      </c>
      <c r="G24" s="30">
        <v>3</v>
      </c>
      <c r="H24" s="28">
        <f>[1]!Tabel14[[#This Row],[STOCK ACTUAL]]-[1]!Tabel14[[#This Row],[STOCK SISTEM]]</f>
        <v>0</v>
      </c>
    </row>
    <row r="25" spans="1:8" x14ac:dyDescent="0.25">
      <c r="A25" s="36"/>
      <c r="B25" s="23" t="str">
        <f>IF(ISNUMBER(MATCH([1]!Tabel14[[#This Row],[ITEM ID]],'[1]REFERENSI RAB'!A:A,0)),"RAB","REGULER")</f>
        <v>RAB</v>
      </c>
      <c r="C25" s="35" t="s">
        <v>190</v>
      </c>
      <c r="D25" s="34" t="s">
        <v>191</v>
      </c>
      <c r="E25" s="26" t="s">
        <v>9</v>
      </c>
      <c r="F25" s="26" t="s">
        <v>145</v>
      </c>
      <c r="G25" s="30">
        <v>2</v>
      </c>
      <c r="H25" s="28">
        <f>[1]!Tabel14[[#This Row],[STOCK ACTUAL]]-[1]!Tabel14[[#This Row],[STOCK SISTEM]]</f>
        <v>0</v>
      </c>
    </row>
    <row r="26" spans="1:8" x14ac:dyDescent="0.25">
      <c r="A26" s="32"/>
      <c r="B26" s="23" t="str">
        <f>IF(ISNUMBER(MATCH([1]!Tabel14[[#This Row],[ITEM ID]],'[1]REFERENSI RAB'!A:A,0)),"RAB","REGULER")</f>
        <v>RAB</v>
      </c>
      <c r="C26" s="24" t="s">
        <v>192</v>
      </c>
      <c r="D26" s="29" t="s">
        <v>193</v>
      </c>
      <c r="E26" s="26" t="s">
        <v>9</v>
      </c>
      <c r="F26" s="26" t="s">
        <v>145</v>
      </c>
      <c r="G26" s="30">
        <v>2</v>
      </c>
      <c r="H26" s="28">
        <f>[1]!Tabel14[[#This Row],[STOCK ACTUAL]]-[1]!Tabel14[[#This Row],[STOCK SISTEM]]</f>
        <v>0</v>
      </c>
    </row>
    <row r="27" spans="1:8" x14ac:dyDescent="0.25">
      <c r="A27" s="32"/>
      <c r="B27" s="23" t="str">
        <f>IF(ISNUMBER(MATCH([1]!Tabel14[[#This Row],[ITEM ID]],'[1]REFERENSI RAB'!A:A,0)),"RAB","REGULER")</f>
        <v>RAB</v>
      </c>
      <c r="C27" s="24" t="s">
        <v>194</v>
      </c>
      <c r="D27" s="29" t="s">
        <v>195</v>
      </c>
      <c r="E27" s="26" t="s">
        <v>9</v>
      </c>
      <c r="F27" s="26" t="s">
        <v>187</v>
      </c>
      <c r="G27" s="30">
        <v>3</v>
      </c>
      <c r="H27" s="28">
        <f>[1]!Tabel14[[#This Row],[STOCK ACTUAL]]-[1]!Tabel14[[#This Row],[STOCK SISTEM]]</f>
        <v>0</v>
      </c>
    </row>
    <row r="28" spans="1:8" x14ac:dyDescent="0.25">
      <c r="A28" s="22" t="s">
        <v>196</v>
      </c>
      <c r="B28" s="23" t="str">
        <f>IF(ISNUMBER(MATCH([1]!Tabel14[[#This Row],[ITEM ID]],'[1]REFERENSI RAB'!A:A,0)),"RAB","REGULER")</f>
        <v>RAB</v>
      </c>
      <c r="C28" s="24" t="s">
        <v>197</v>
      </c>
      <c r="D28" s="29" t="s">
        <v>198</v>
      </c>
      <c r="E28" s="26" t="s">
        <v>9</v>
      </c>
      <c r="F28" s="26" t="s">
        <v>172</v>
      </c>
      <c r="G28" s="30">
        <v>1</v>
      </c>
      <c r="H28" s="28">
        <f>[1]!Tabel14[[#This Row],[STOCK ACTUAL]]-[1]!Tabel14[[#This Row],[STOCK SISTEM]]</f>
        <v>0</v>
      </c>
    </row>
    <row r="29" spans="1:8" x14ac:dyDescent="0.25">
      <c r="A29" s="32"/>
      <c r="B29" s="23" t="str">
        <f>IF(ISNUMBER(MATCH([1]!Tabel14[[#This Row],[ITEM ID]],'[1]REFERENSI RAB'!A:A,0)),"RAB","REGULER")</f>
        <v>RAB</v>
      </c>
      <c r="C29" s="33" t="s">
        <v>199</v>
      </c>
      <c r="D29" s="34" t="s">
        <v>200</v>
      </c>
      <c r="E29" s="26" t="s">
        <v>9</v>
      </c>
      <c r="F29" s="26" t="s">
        <v>141</v>
      </c>
      <c r="G29" s="30">
        <v>0</v>
      </c>
      <c r="H29" s="28">
        <f>[1]!Tabel14[[#This Row],[STOCK ACTUAL]]-[1]!Tabel14[[#This Row],[STOCK SISTEM]]</f>
        <v>0</v>
      </c>
    </row>
    <row r="30" spans="1:8" x14ac:dyDescent="0.25">
      <c r="A30" s="36"/>
      <c r="B30" s="23" t="str">
        <f>IF(ISNUMBER(MATCH([1]!Tabel14[[#This Row],[ITEM ID]],'[1]REFERENSI RAB'!A:A,0)),"RAB","REGULER")</f>
        <v>RAB</v>
      </c>
      <c r="C30" s="35" t="s">
        <v>201</v>
      </c>
      <c r="D30" s="34" t="s">
        <v>202</v>
      </c>
      <c r="E30" s="26" t="s">
        <v>9</v>
      </c>
      <c r="F30" s="26" t="s">
        <v>153</v>
      </c>
      <c r="G30" s="30">
        <v>4</v>
      </c>
      <c r="H30" s="28">
        <f>[1]!Tabel14[[#This Row],[STOCK ACTUAL]]-[1]!Tabel14[[#This Row],[STOCK SISTEM]]</f>
        <v>0</v>
      </c>
    </row>
    <row r="31" spans="1:8" x14ac:dyDescent="0.25">
      <c r="A31" s="32"/>
      <c r="B31" s="23" t="str">
        <f>IF(ISNUMBER(MATCH([1]!Tabel14[[#This Row],[ITEM ID]],'[1]REFERENSI RAB'!A:A,0)),"RAB","REGULER")</f>
        <v>RAB</v>
      </c>
      <c r="C31" s="24" t="s">
        <v>203</v>
      </c>
      <c r="D31" s="29" t="s">
        <v>204</v>
      </c>
      <c r="E31" s="26" t="s">
        <v>9</v>
      </c>
      <c r="F31" s="26" t="s">
        <v>145</v>
      </c>
      <c r="G31" s="30">
        <v>2</v>
      </c>
      <c r="H31" s="28">
        <f>[1]!Tabel14[[#This Row],[STOCK ACTUAL]]-[1]!Tabel14[[#This Row],[STOCK SISTEM]]</f>
        <v>0</v>
      </c>
    </row>
    <row r="32" spans="1:8" x14ac:dyDescent="0.25">
      <c r="A32" s="32"/>
      <c r="B32" s="23" t="str">
        <f>IF(ISNUMBER(MATCH([1]!Tabel14[[#This Row],[ITEM ID]],'[1]REFERENSI RAB'!A:A,0)),"RAB","REGULER")</f>
        <v>RAB</v>
      </c>
      <c r="C32" s="24" t="s">
        <v>205</v>
      </c>
      <c r="D32" s="29" t="s">
        <v>206</v>
      </c>
      <c r="E32" s="26" t="s">
        <v>9</v>
      </c>
      <c r="F32" s="26" t="s">
        <v>150</v>
      </c>
      <c r="G32" s="30">
        <v>6</v>
      </c>
      <c r="H32" s="28">
        <f>[1]!Tabel14[[#This Row],[STOCK ACTUAL]]-[1]!Tabel14[[#This Row],[STOCK SISTEM]]</f>
        <v>0</v>
      </c>
    </row>
    <row r="33" spans="1:8" x14ac:dyDescent="0.25">
      <c r="A33" s="22" t="s">
        <v>207</v>
      </c>
      <c r="B33" s="23" t="str">
        <f>IF(ISNUMBER(MATCH([1]!Tabel14[[#This Row],[ITEM ID]],'[1]REFERENSI RAB'!A:A,0)),"RAB","REGULER")</f>
        <v>RAB</v>
      </c>
      <c r="C33" s="24" t="s">
        <v>208</v>
      </c>
      <c r="D33" s="29" t="s">
        <v>209</v>
      </c>
      <c r="E33" s="26" t="s">
        <v>9</v>
      </c>
      <c r="F33" s="26" t="s">
        <v>145</v>
      </c>
      <c r="G33" s="30">
        <v>2</v>
      </c>
      <c r="H33" s="28">
        <f>[1]!Tabel14[[#This Row],[STOCK ACTUAL]]-[1]!Tabel14[[#This Row],[STOCK SISTEM]]</f>
        <v>0</v>
      </c>
    </row>
    <row r="34" spans="1:8" x14ac:dyDescent="0.25">
      <c r="A34" s="32"/>
      <c r="B34" s="23" t="str">
        <f>IF(ISNUMBER(MATCH([1]!Tabel14[[#This Row],[ITEM ID]],'[1]REFERENSI RAB'!A:A,0)),"RAB","REGULER")</f>
        <v>RAB</v>
      </c>
      <c r="C34" s="24" t="s">
        <v>210</v>
      </c>
      <c r="D34" s="29" t="s">
        <v>211</v>
      </c>
      <c r="E34" s="26" t="s">
        <v>9</v>
      </c>
      <c r="F34" s="26" t="s">
        <v>187</v>
      </c>
      <c r="G34" s="30">
        <v>3</v>
      </c>
      <c r="H34" s="28">
        <f>[1]!Tabel14[[#This Row],[STOCK ACTUAL]]-[1]!Tabel14[[#This Row],[STOCK SISTEM]]</f>
        <v>0</v>
      </c>
    </row>
    <row r="35" spans="1:8" x14ac:dyDescent="0.25">
      <c r="A35" s="32"/>
      <c r="B35" s="23" t="str">
        <f>IF(ISNUMBER(MATCH([1]!Tabel14[[#This Row],[ITEM ID]],'[1]REFERENSI RAB'!A:A,0)),"RAB","REGULER")</f>
        <v>REGULER</v>
      </c>
      <c r="C35" s="24" t="s">
        <v>212</v>
      </c>
      <c r="D35" s="29" t="s">
        <v>213</v>
      </c>
      <c r="E35" s="26" t="s">
        <v>9</v>
      </c>
      <c r="F35" s="26" t="s">
        <v>140</v>
      </c>
      <c r="G35" s="30">
        <v>7</v>
      </c>
      <c r="H35" s="28">
        <f>[1]!Tabel14[[#This Row],[STOCK ACTUAL]]-[1]!Tabel14[[#This Row],[STOCK SISTEM]]</f>
        <v>0</v>
      </c>
    </row>
    <row r="36" spans="1:8" x14ac:dyDescent="0.25">
      <c r="A36" s="36"/>
      <c r="B36" s="23" t="str">
        <f>IF(ISNUMBER(MATCH([1]!Tabel14[[#This Row],[ITEM ID]],'[1]REFERENSI RAB'!A:A,0)),"RAB","REGULER")</f>
        <v>RAB</v>
      </c>
      <c r="C36" s="24" t="s">
        <v>214</v>
      </c>
      <c r="D36" s="29" t="s">
        <v>215</v>
      </c>
      <c r="E36" s="26" t="s">
        <v>9</v>
      </c>
      <c r="F36" s="26" t="s">
        <v>145</v>
      </c>
      <c r="G36" s="30">
        <v>2</v>
      </c>
      <c r="H36" s="28">
        <f>[1]!Tabel14[[#This Row],[STOCK ACTUAL]]-[1]!Tabel14[[#This Row],[STOCK SISTEM]]</f>
        <v>0</v>
      </c>
    </row>
    <row r="37" spans="1:8" x14ac:dyDescent="0.25">
      <c r="A37" s="32"/>
      <c r="B37" s="23" t="str">
        <f>IF(ISNUMBER(MATCH([1]!Tabel14[[#This Row],[ITEM ID]],'[1]REFERENSI RAB'!A:A,0)),"RAB","REGULER")</f>
        <v>RAB</v>
      </c>
      <c r="C37" s="24" t="s">
        <v>216</v>
      </c>
      <c r="D37" s="29" t="s">
        <v>217</v>
      </c>
      <c r="E37" s="26" t="s">
        <v>9</v>
      </c>
      <c r="F37" s="26" t="s">
        <v>141</v>
      </c>
      <c r="G37" s="30">
        <v>0</v>
      </c>
      <c r="H37" s="28">
        <f>[1]!Tabel14[[#This Row],[STOCK ACTUAL]]-[1]!Tabel14[[#This Row],[STOCK SISTEM]]</f>
        <v>0</v>
      </c>
    </row>
    <row r="38" spans="1:8" x14ac:dyDescent="0.25">
      <c r="A38" s="22"/>
      <c r="B38" s="23" t="str">
        <f>IF(ISNUMBER(MATCH([1]!Tabel14[[#This Row],[ITEM ID]],'[1]REFERENSI RAB'!A:A,0)),"RAB","REGULER")</f>
        <v>REGULER</v>
      </c>
      <c r="C38" s="24" t="s">
        <v>218</v>
      </c>
      <c r="D38" s="29" t="s">
        <v>219</v>
      </c>
      <c r="E38" s="26" t="s">
        <v>9</v>
      </c>
      <c r="F38" s="26" t="s">
        <v>187</v>
      </c>
      <c r="G38" s="30">
        <v>3</v>
      </c>
      <c r="H38" s="28">
        <f>[1]!Tabel14[[#This Row],[STOCK ACTUAL]]-[1]!Tabel14[[#This Row],[STOCK SISTEM]]</f>
        <v>0</v>
      </c>
    </row>
    <row r="39" spans="1:8" x14ac:dyDescent="0.25">
      <c r="A39" s="22" t="s">
        <v>220</v>
      </c>
      <c r="B39" s="23" t="str">
        <f>IF(ISNUMBER(MATCH([1]!Tabel14[[#This Row],[ITEM ID]],'[1]REFERENSI RAB'!A:A,0)),"RAB","REGULER")</f>
        <v>REGULER</v>
      </c>
      <c r="C39" s="24" t="s">
        <v>221</v>
      </c>
      <c r="D39" s="29" t="s">
        <v>222</v>
      </c>
      <c r="E39" s="26" t="s">
        <v>9</v>
      </c>
      <c r="F39" s="26" t="s">
        <v>141</v>
      </c>
      <c r="G39" s="30">
        <v>0</v>
      </c>
      <c r="H39" s="28">
        <f>[1]!Tabel14[[#This Row],[STOCK ACTUAL]]-[1]!Tabel14[[#This Row],[STOCK SISTEM]]</f>
        <v>0</v>
      </c>
    </row>
    <row r="40" spans="1:8" x14ac:dyDescent="0.25">
      <c r="A40" s="22"/>
      <c r="B40" s="23" t="str">
        <f>IF(ISNUMBER(MATCH([1]!Tabel14[[#This Row],[ITEM ID]],'[1]REFERENSI RAB'!A:A,0)),"RAB","REGULER")</f>
        <v>RAB</v>
      </c>
      <c r="C40" s="24" t="s">
        <v>223</v>
      </c>
      <c r="D40" s="34" t="s">
        <v>224</v>
      </c>
      <c r="E40" s="26" t="s">
        <v>9</v>
      </c>
      <c r="F40" s="26" t="s">
        <v>141</v>
      </c>
      <c r="G40" s="30">
        <v>0</v>
      </c>
      <c r="H40" s="28">
        <f>[1]!Tabel14[[#This Row],[STOCK ACTUAL]]-[1]!Tabel14[[#This Row],[STOCK SISTEM]]</f>
        <v>0</v>
      </c>
    </row>
    <row r="41" spans="1:8" x14ac:dyDescent="0.25">
      <c r="A41" s="32"/>
      <c r="B41" s="23" t="str">
        <f>IF(ISNUMBER(MATCH([1]!Tabel14[[#This Row],[ITEM ID]],'[1]REFERENSI RAB'!A:A,0)),"RAB","REGULER")</f>
        <v>RAB</v>
      </c>
      <c r="C41" s="24" t="s">
        <v>225</v>
      </c>
      <c r="D41" s="29" t="s">
        <v>226</v>
      </c>
      <c r="E41" s="26" t="s">
        <v>9</v>
      </c>
      <c r="F41" s="26" t="s">
        <v>187</v>
      </c>
      <c r="G41" s="30">
        <v>3</v>
      </c>
      <c r="H41" s="28">
        <f>[1]!Tabel14[[#This Row],[STOCK ACTUAL]]-[1]!Tabel14[[#This Row],[STOCK SISTEM]]</f>
        <v>0</v>
      </c>
    </row>
    <row r="42" spans="1:8" x14ac:dyDescent="0.25">
      <c r="A42" s="36"/>
      <c r="B42" s="23" t="str">
        <f>IF(ISNUMBER(MATCH([1]!Tabel14[[#This Row],[ITEM ID]],'[1]REFERENSI RAB'!A:A,0)),"RAB","REGULER")</f>
        <v>REGULER</v>
      </c>
      <c r="C42" s="24" t="s">
        <v>227</v>
      </c>
      <c r="D42" s="29" t="s">
        <v>228</v>
      </c>
      <c r="E42" s="26" t="s">
        <v>9</v>
      </c>
      <c r="F42" s="26" t="s">
        <v>187</v>
      </c>
      <c r="G42" s="30">
        <v>3</v>
      </c>
      <c r="H42" s="28">
        <f>[1]!Tabel14[[#This Row],[STOCK ACTUAL]]-[1]!Tabel14[[#This Row],[STOCK SISTEM]]</f>
        <v>0</v>
      </c>
    </row>
    <row r="43" spans="1:8" x14ac:dyDescent="0.25">
      <c r="A43" s="37" t="s">
        <v>229</v>
      </c>
      <c r="B43" s="23" t="str">
        <f>IF(ISNUMBER(MATCH([1]!Tabel14[[#This Row],[ITEM ID]],'[1]REFERENSI RAB'!A:A,0)),"RAB","REGULER")</f>
        <v>RAB</v>
      </c>
      <c r="C43" s="24" t="s">
        <v>230</v>
      </c>
      <c r="D43" s="29" t="s">
        <v>231</v>
      </c>
      <c r="E43" s="26" t="s">
        <v>9</v>
      </c>
      <c r="F43" s="26" t="s">
        <v>145</v>
      </c>
      <c r="G43" s="30">
        <v>2</v>
      </c>
      <c r="H43" s="28">
        <f>[1]!Tabel14[[#This Row],[STOCK ACTUAL]]-[1]!Tabel14[[#This Row],[STOCK SISTEM]]</f>
        <v>0</v>
      </c>
    </row>
    <row r="44" spans="1:8" x14ac:dyDescent="0.25">
      <c r="A44" s="38"/>
      <c r="B44" s="23" t="str">
        <f>IF(ISNUMBER(MATCH([1]!Tabel14[[#This Row],[ITEM ID]],'[1]REFERENSI RAB'!A:A,0)),"RAB","REGULER")</f>
        <v>RAB</v>
      </c>
      <c r="C44" s="24" t="s">
        <v>232</v>
      </c>
      <c r="D44" s="29" t="s">
        <v>233</v>
      </c>
      <c r="E44" s="26" t="s">
        <v>9</v>
      </c>
      <c r="F44" s="26" t="s">
        <v>145</v>
      </c>
      <c r="G44" s="30">
        <v>2</v>
      </c>
      <c r="H44" s="28">
        <f>[1]!Tabel14[[#This Row],[STOCK ACTUAL]]-[1]!Tabel14[[#This Row],[STOCK SISTEM]]</f>
        <v>0</v>
      </c>
    </row>
    <row r="45" spans="1:8" x14ac:dyDescent="0.25">
      <c r="A45" s="39"/>
      <c r="B45" s="23" t="str">
        <f>IF(ISNUMBER(MATCH([1]!Tabel14[[#This Row],[ITEM ID]],'[1]REFERENSI RAB'!A:A,0)),"RAB","REGULER")</f>
        <v>RAB</v>
      </c>
      <c r="C45" s="24" t="s">
        <v>234</v>
      </c>
      <c r="D45" s="29" t="s">
        <v>235</v>
      </c>
      <c r="E45" s="26" t="s">
        <v>9</v>
      </c>
      <c r="F45" s="26" t="s">
        <v>167</v>
      </c>
      <c r="G45" s="30">
        <v>5</v>
      </c>
      <c r="H45" s="28">
        <f>[1]!Tabel14[[#This Row],[STOCK ACTUAL]]-[1]!Tabel14[[#This Row],[STOCK SISTEM]]</f>
        <v>0</v>
      </c>
    </row>
    <row r="46" spans="1:8" x14ac:dyDescent="0.25">
      <c r="A46" s="40"/>
      <c r="B46" s="23" t="str">
        <f>IF(ISNUMBER(MATCH([1]!Tabel14[[#This Row],[ITEM ID]],'[1]REFERENSI RAB'!A:A,0)),"RAB","REGULER")</f>
        <v>REGULER</v>
      </c>
      <c r="C46" s="24" t="s">
        <v>236</v>
      </c>
      <c r="D46" s="29" t="s">
        <v>237</v>
      </c>
      <c r="E46" s="26" t="s">
        <v>9</v>
      </c>
      <c r="F46" s="26" t="s">
        <v>137</v>
      </c>
      <c r="G46" s="30">
        <v>16</v>
      </c>
      <c r="H46" s="28">
        <f>[1]!Tabel14[[#This Row],[STOCK ACTUAL]]-[1]!Tabel14[[#This Row],[STOCK SISTEM]]</f>
        <v>0</v>
      </c>
    </row>
    <row r="47" spans="1:8" x14ac:dyDescent="0.25">
      <c r="A47" s="37" t="s">
        <v>238</v>
      </c>
      <c r="B47" s="23" t="str">
        <f>IF(ISNUMBER(MATCH([1]!Tabel14[[#This Row],[ITEM ID]],'[1]REFERENSI RAB'!A:A,0)),"RAB","REGULER")</f>
        <v>REGULER</v>
      </c>
      <c r="C47" s="35" t="s">
        <v>239</v>
      </c>
      <c r="D47" s="34" t="s">
        <v>240</v>
      </c>
      <c r="E47" s="26" t="s">
        <v>9</v>
      </c>
      <c r="F47" s="26" t="s">
        <v>140</v>
      </c>
      <c r="G47" s="30">
        <v>7</v>
      </c>
      <c r="H47" s="28">
        <f>[1]!Tabel14[[#This Row],[STOCK ACTUAL]]-[1]!Tabel14[[#This Row],[STOCK SISTEM]]</f>
        <v>0</v>
      </c>
    </row>
    <row r="48" spans="1:8" x14ac:dyDescent="0.25">
      <c r="A48" s="40"/>
      <c r="B48" s="23" t="str">
        <f>IF(ISNUMBER(MATCH([1]!Tabel14[[#This Row],[ITEM ID]],'[1]REFERENSI RAB'!A:A,0)),"RAB","REGULER")</f>
        <v>RAB</v>
      </c>
      <c r="C48" s="24" t="s">
        <v>241</v>
      </c>
      <c r="D48" s="34" t="s">
        <v>242</v>
      </c>
      <c r="E48" s="26" t="s">
        <v>9</v>
      </c>
      <c r="F48" s="26" t="s">
        <v>167</v>
      </c>
      <c r="G48" s="30">
        <v>5</v>
      </c>
      <c r="H48" s="28">
        <f>[1]!Tabel14[[#This Row],[STOCK ACTUAL]]-[1]!Tabel14[[#This Row],[STOCK SISTEM]]</f>
        <v>0</v>
      </c>
    </row>
    <row r="49" spans="1:8" x14ac:dyDescent="0.25">
      <c r="A49" s="41"/>
      <c r="B49" s="23" t="str">
        <f>IF(ISNUMBER(MATCH([1]!Tabel14[[#This Row],[ITEM ID]],'[1]REFERENSI RAB'!A:A,0)),"RAB","REGULER")</f>
        <v>RAB</v>
      </c>
      <c r="C49" s="24" t="s">
        <v>243</v>
      </c>
      <c r="D49" s="34" t="s">
        <v>244</v>
      </c>
      <c r="E49" s="26" t="s">
        <v>9</v>
      </c>
      <c r="F49" s="26" t="s">
        <v>145</v>
      </c>
      <c r="G49" s="30">
        <v>2</v>
      </c>
      <c r="H49" s="28">
        <f>[1]!Tabel14[[#This Row],[STOCK ACTUAL]]-[1]!Tabel14[[#This Row],[STOCK SISTEM]]</f>
        <v>0</v>
      </c>
    </row>
    <row r="50" spans="1:8" x14ac:dyDescent="0.25">
      <c r="A50" s="42"/>
      <c r="B50" s="23" t="str">
        <f>IF(ISNUMBER(MATCH([1]!Tabel14[[#This Row],[ITEM ID]],'[1]REFERENSI RAB'!A:A,0)),"RAB","REGULER")</f>
        <v>RAB</v>
      </c>
      <c r="C50" s="24" t="s">
        <v>245</v>
      </c>
      <c r="D50" s="29" t="s">
        <v>246</v>
      </c>
      <c r="E50" s="26" t="s">
        <v>9</v>
      </c>
      <c r="F50" s="26" t="s">
        <v>140</v>
      </c>
      <c r="G50" s="30">
        <v>7</v>
      </c>
      <c r="H50" s="28">
        <f>[1]!Tabel14[[#This Row],[STOCK ACTUAL]]-[1]!Tabel14[[#This Row],[STOCK SISTEM]]</f>
        <v>0</v>
      </c>
    </row>
    <row r="51" spans="1:8" x14ac:dyDescent="0.25">
      <c r="A51" s="43"/>
      <c r="B51" s="23" t="str">
        <f>IF(ISNUMBER(MATCH([1]!Tabel14[[#This Row],[ITEM ID]],'[1]REFERENSI RAB'!A:A,0)),"RAB","REGULER")</f>
        <v>RAB</v>
      </c>
      <c r="C51" s="24" t="s">
        <v>247</v>
      </c>
      <c r="D51" s="29" t="s">
        <v>248</v>
      </c>
      <c r="E51" s="26" t="s">
        <v>9</v>
      </c>
      <c r="F51" s="26" t="s">
        <v>153</v>
      </c>
      <c r="G51" s="30">
        <v>4</v>
      </c>
      <c r="H51" s="28">
        <f>[1]!Tabel14[[#This Row],[STOCK ACTUAL]]-[1]!Tabel14[[#This Row],[STOCK SISTEM]]</f>
        <v>0</v>
      </c>
    </row>
    <row r="52" spans="1:8" x14ac:dyDescent="0.25">
      <c r="A52" s="43"/>
      <c r="B52" s="23" t="str">
        <f>IF(ISNUMBER(MATCH([1]!Tabel14[[#This Row],[ITEM ID]],'[1]REFERENSI RAB'!A:A,0)),"RAB","REGULER")</f>
        <v>RAB</v>
      </c>
      <c r="C52" s="24" t="s">
        <v>249</v>
      </c>
      <c r="D52" s="29" t="s">
        <v>250</v>
      </c>
      <c r="E52" s="26" t="s">
        <v>9</v>
      </c>
      <c r="F52" s="26" t="s">
        <v>150</v>
      </c>
      <c r="G52" s="30">
        <v>6</v>
      </c>
      <c r="H52" s="28">
        <f>[1]!Tabel14[[#This Row],[STOCK ACTUAL]]-[1]!Tabel14[[#This Row],[STOCK SISTEM]]</f>
        <v>0</v>
      </c>
    </row>
    <row r="53" spans="1:8" x14ac:dyDescent="0.25">
      <c r="A53" s="43"/>
      <c r="B53" s="23" t="str">
        <f>IF(ISNUMBER(MATCH([1]!Tabel14[[#This Row],[ITEM ID]],'[1]REFERENSI RAB'!A:A,0)),"RAB","REGULER")</f>
        <v>REGULER</v>
      </c>
      <c r="C53" s="24" t="s">
        <v>251</v>
      </c>
      <c r="D53" s="44" t="s">
        <v>252</v>
      </c>
      <c r="E53" s="26" t="s">
        <v>9</v>
      </c>
      <c r="F53" s="26" t="s">
        <v>153</v>
      </c>
      <c r="G53" s="45">
        <v>4</v>
      </c>
      <c r="H53" s="28">
        <f>[1]!Tabel14[[#This Row],[STOCK ACTUAL]]-[1]!Tabel14[[#This Row],[STOCK SISTEM]]</f>
        <v>0</v>
      </c>
    </row>
    <row r="54" spans="1:8" x14ac:dyDescent="0.25">
      <c r="A54" s="46" t="s">
        <v>253</v>
      </c>
      <c r="B54" s="23" t="str">
        <f>IF(ISNUMBER(MATCH([1]!Tabel14[[#This Row],[ITEM ID]],'[1]REFERENSI RAB'!A:A,0)),"RAB","REGULER")</f>
        <v>REGULER</v>
      </c>
      <c r="C54" s="24" t="s">
        <v>254</v>
      </c>
      <c r="D54" s="47" t="s">
        <v>255</v>
      </c>
      <c r="E54" s="26" t="s">
        <v>9</v>
      </c>
      <c r="F54" s="26" t="s">
        <v>145</v>
      </c>
      <c r="G54" s="48">
        <v>2</v>
      </c>
      <c r="H54" s="28">
        <f>[1]!Tabel14[[#This Row],[STOCK ACTUAL]]-[1]!Tabel14[[#This Row],[STOCK SISTEM]]</f>
        <v>0</v>
      </c>
    </row>
    <row r="55" spans="1:8" x14ac:dyDescent="0.25">
      <c r="A55" s="43"/>
      <c r="B55" s="23" t="str">
        <f>IF(ISNUMBER(MATCH([1]!Tabel14[[#This Row],[ITEM ID]],'[1]REFERENSI RAB'!A:A,0)),"RAB","REGULER")</f>
        <v>RAB</v>
      </c>
      <c r="C55" s="24" t="s">
        <v>256</v>
      </c>
      <c r="D55" s="47" t="s">
        <v>257</v>
      </c>
      <c r="E55" s="26" t="s">
        <v>9</v>
      </c>
      <c r="F55" s="26" t="s">
        <v>153</v>
      </c>
      <c r="G55" s="48">
        <v>4</v>
      </c>
      <c r="H55" s="28">
        <f>[1]!Tabel14[[#This Row],[STOCK ACTUAL]]-[1]!Tabel14[[#This Row],[STOCK SISTEM]]</f>
        <v>0</v>
      </c>
    </row>
    <row r="56" spans="1:8" x14ac:dyDescent="0.25">
      <c r="A56" s="43"/>
      <c r="B56" s="23" t="str">
        <f>IF(ISNUMBER(MATCH([1]!Tabel14[[#This Row],[ITEM ID]],'[1]REFERENSI RAB'!A:A,0)),"RAB","REGULER")</f>
        <v>RAB</v>
      </c>
      <c r="C56" s="24" t="s">
        <v>258</v>
      </c>
      <c r="D56" s="47" t="s">
        <v>259</v>
      </c>
      <c r="E56" s="26" t="s">
        <v>9</v>
      </c>
      <c r="F56" s="26" t="s">
        <v>172</v>
      </c>
      <c r="G56" s="48">
        <v>1</v>
      </c>
      <c r="H56" s="28">
        <f>[1]!Tabel14[[#This Row],[STOCK ACTUAL]]-[1]!Tabel14[[#This Row],[STOCK SISTEM]]</f>
        <v>0</v>
      </c>
    </row>
    <row r="57" spans="1:8" x14ac:dyDescent="0.25">
      <c r="A57" s="49"/>
      <c r="B57" s="23" t="str">
        <f>IF(ISNUMBER(MATCH([1]!Tabel14[[#This Row],[ITEM ID]],'[1]REFERENSI RAB'!A:A,0)),"RAB","REGULER")</f>
        <v>REGULER</v>
      </c>
      <c r="C57" s="24" t="s">
        <v>260</v>
      </c>
      <c r="D57" s="47" t="s">
        <v>261</v>
      </c>
      <c r="E57" s="26" t="s">
        <v>9</v>
      </c>
      <c r="F57" s="26" t="s">
        <v>172</v>
      </c>
      <c r="G57" s="48">
        <v>1</v>
      </c>
      <c r="H57" s="28">
        <f>[1]!Tabel14[[#This Row],[STOCK ACTUAL]]-[1]!Tabel14[[#This Row],[STOCK SISTEM]]</f>
        <v>0</v>
      </c>
    </row>
    <row r="58" spans="1:8" x14ac:dyDescent="0.25">
      <c r="A58" s="50"/>
      <c r="B58" s="23" t="str">
        <f>IF(ISNUMBER(MATCH([1]!Tabel14[[#This Row],[ITEM ID]],'[1]REFERENSI RAB'!A:A,0)),"RAB","REGULER")</f>
        <v>REGULER</v>
      </c>
      <c r="C58" s="24" t="s">
        <v>262</v>
      </c>
      <c r="D58" s="47" t="s">
        <v>263</v>
      </c>
      <c r="E58" s="26" t="s">
        <v>9</v>
      </c>
      <c r="F58" s="26" t="s">
        <v>153</v>
      </c>
      <c r="G58" s="48">
        <v>4</v>
      </c>
      <c r="H58" s="28">
        <f>[1]!Tabel14[[#This Row],[STOCK ACTUAL]]-[1]!Tabel14[[#This Row],[STOCK SISTEM]]</f>
        <v>0</v>
      </c>
    </row>
    <row r="59" spans="1:8" x14ac:dyDescent="0.25">
      <c r="A59" s="51"/>
      <c r="B59" s="23" t="str">
        <f>IF(ISNUMBER(MATCH([1]!Tabel14[[#This Row],[ITEM ID]],'[1]REFERENSI RAB'!A:A,0)),"RAB","REGULER")</f>
        <v>RAB</v>
      </c>
      <c r="C59" s="24" t="s">
        <v>124</v>
      </c>
      <c r="D59" s="52" t="s">
        <v>125</v>
      </c>
      <c r="E59" s="26" t="s">
        <v>9</v>
      </c>
      <c r="F59" s="26" t="s">
        <v>141</v>
      </c>
      <c r="G59" s="48">
        <v>0</v>
      </c>
      <c r="H59" s="28">
        <f>[1]!Tabel14[[#This Row],[STOCK ACTUAL]]-[1]!Tabel14[[#This Row],[STOCK SISTEM]]</f>
        <v>0</v>
      </c>
    </row>
    <row r="60" spans="1:8" x14ac:dyDescent="0.25">
      <c r="A60" s="51"/>
      <c r="B60" s="23" t="str">
        <f>IF(ISNUMBER(MATCH([1]!Tabel14[[#This Row],[ITEM ID]],'[1]REFERENSI RAB'!A:A,0)),"RAB","REGULER")</f>
        <v>REGULER</v>
      </c>
      <c r="C60" s="24" t="s">
        <v>126</v>
      </c>
      <c r="D60" s="47" t="s">
        <v>127</v>
      </c>
      <c r="E60" s="26" t="s">
        <v>9</v>
      </c>
      <c r="F60" s="26" t="s">
        <v>141</v>
      </c>
      <c r="G60" s="48">
        <v>0</v>
      </c>
      <c r="H60" s="28">
        <f>[1]!Tabel14[[#This Row],[STOCK ACTUAL]]-[1]!Tabel14[[#This Row],[STOCK SISTEM]]</f>
        <v>0</v>
      </c>
    </row>
    <row r="61" spans="1:8" x14ac:dyDescent="0.25">
      <c r="A61" s="53" t="s">
        <v>264</v>
      </c>
      <c r="B61" s="23" t="str">
        <f>IF(ISNUMBER(MATCH([1]!Tabel14[[#This Row],[ITEM ID]],'[1]REFERENSI RAB'!A:A,0)),"RAB","REGULER")</f>
        <v>RAB</v>
      </c>
      <c r="C61" s="24" t="s">
        <v>100</v>
      </c>
      <c r="D61" s="47" t="s">
        <v>101</v>
      </c>
      <c r="E61" s="26" t="s">
        <v>9</v>
      </c>
      <c r="F61" s="26" t="s">
        <v>150</v>
      </c>
      <c r="G61" s="48">
        <v>6</v>
      </c>
      <c r="H61" s="28">
        <f>[1]!Tabel14[[#This Row],[STOCK ACTUAL]]-[1]!Tabel14[[#This Row],[STOCK SISTEM]]</f>
        <v>0</v>
      </c>
    </row>
    <row r="62" spans="1:8" x14ac:dyDescent="0.25">
      <c r="A62" s="51"/>
      <c r="B62" s="23" t="str">
        <f>IF(ISNUMBER(MATCH([1]!Tabel14[[#This Row],[ITEM ID]],'[1]REFERENSI RAB'!A:A,0)),"RAB","REGULER")</f>
        <v>RAB</v>
      </c>
      <c r="C62" s="33" t="s">
        <v>265</v>
      </c>
      <c r="D62" s="47" t="s">
        <v>266</v>
      </c>
      <c r="E62" s="26" t="s">
        <v>9</v>
      </c>
      <c r="F62" s="26" t="s">
        <v>153</v>
      </c>
      <c r="G62" s="48">
        <v>4</v>
      </c>
      <c r="H62" s="28">
        <f>[1]!Tabel14[[#This Row],[STOCK ACTUAL]]-[1]!Tabel14[[#This Row],[STOCK SISTEM]]</f>
        <v>0</v>
      </c>
    </row>
    <row r="63" spans="1:8" x14ac:dyDescent="0.25">
      <c r="A63" s="51"/>
      <c r="B63" s="23" t="str">
        <f>IF(ISNUMBER(MATCH([1]!Tabel14[[#This Row],[ITEM ID]],'[1]REFERENSI RAB'!A:A,0)),"RAB","REGULER")</f>
        <v>RAB</v>
      </c>
      <c r="C63" s="33" t="s">
        <v>267</v>
      </c>
      <c r="D63" s="47" t="s">
        <v>268</v>
      </c>
      <c r="E63" s="26" t="s">
        <v>9</v>
      </c>
      <c r="F63" s="26" t="s">
        <v>167</v>
      </c>
      <c r="G63" s="48">
        <v>5</v>
      </c>
      <c r="H63" s="28">
        <f>[1]!Tabel14[[#This Row],[STOCK ACTUAL]]-[1]!Tabel14[[#This Row],[STOCK SISTEM]]</f>
        <v>0</v>
      </c>
    </row>
    <row r="64" spans="1:8" x14ac:dyDescent="0.25">
      <c r="A64" s="51"/>
      <c r="B64" s="23" t="str">
        <f>IF(ISNUMBER(MATCH([1]!Tabel14[[#This Row],[ITEM ID]],'[1]REFERENSI RAB'!A:A,0)),"RAB","REGULER")</f>
        <v>RAB</v>
      </c>
      <c r="C64" s="24" t="s">
        <v>269</v>
      </c>
      <c r="D64" s="54" t="s">
        <v>270</v>
      </c>
      <c r="E64" s="26" t="s">
        <v>9</v>
      </c>
      <c r="F64" s="26" t="s">
        <v>187</v>
      </c>
      <c r="G64" s="55">
        <v>3</v>
      </c>
      <c r="H64" s="28">
        <f>[1]!Tabel14[[#This Row],[STOCK ACTUAL]]-[1]!Tabel14[[#This Row],[STOCK SISTEM]]</f>
        <v>0</v>
      </c>
    </row>
    <row r="65" spans="1:8" x14ac:dyDescent="0.25">
      <c r="A65" s="56"/>
      <c r="B65" s="23" t="str">
        <f>IF(ISNUMBER(MATCH([1]!Tabel14[[#This Row],[ITEM ID]],'[1]REFERENSI RAB'!A:A,0)),"RAB","REGULER")</f>
        <v>REGULER</v>
      </c>
      <c r="C65" s="33" t="s">
        <v>271</v>
      </c>
      <c r="D65" s="47" t="s">
        <v>272</v>
      </c>
      <c r="E65" s="26" t="s">
        <v>9</v>
      </c>
      <c r="F65" s="26" t="s">
        <v>137</v>
      </c>
      <c r="G65" s="48">
        <v>16</v>
      </c>
      <c r="H65" s="28">
        <f>[1]!Tabel14[[#This Row],[STOCK ACTUAL]]-[1]!Tabel14[[#This Row],[STOCK SISTEM]]</f>
        <v>0</v>
      </c>
    </row>
    <row r="66" spans="1:8" x14ac:dyDescent="0.25">
      <c r="A66" s="50"/>
      <c r="B66" s="23" t="str">
        <f>IF(ISNUMBER(MATCH([1]!Tabel14[[#This Row],[ITEM ID]],'[1]REFERENSI RAB'!A:A,0)),"RAB","REGULER")</f>
        <v>RAB</v>
      </c>
      <c r="C66" s="24" t="s">
        <v>273</v>
      </c>
      <c r="D66" s="57" t="s">
        <v>274</v>
      </c>
      <c r="E66" s="26" t="s">
        <v>58</v>
      </c>
      <c r="F66" s="26" t="s">
        <v>275</v>
      </c>
      <c r="G66" s="55">
        <v>25</v>
      </c>
      <c r="H66" s="28">
        <f>[1]!Tabel14[[#This Row],[STOCK ACTUAL]]-[1]!Tabel14[[#This Row],[STOCK SISTEM]]</f>
        <v>0</v>
      </c>
    </row>
    <row r="67" spans="1:8" x14ac:dyDescent="0.25">
      <c r="A67" s="51"/>
      <c r="B67" s="23" t="str">
        <f>IF(ISNUMBER(MATCH([1]!Tabel14[[#This Row],[ITEM ID]],'[1]REFERENSI RAB'!A:A,0)),"RAB","REGULER")</f>
        <v>REGULER</v>
      </c>
      <c r="C67" s="24" t="s">
        <v>276</v>
      </c>
      <c r="D67" s="57" t="s">
        <v>277</v>
      </c>
      <c r="E67" s="26" t="s">
        <v>58</v>
      </c>
      <c r="F67" s="26" t="s">
        <v>178</v>
      </c>
      <c r="G67" s="55">
        <v>10</v>
      </c>
      <c r="H67" s="28">
        <f>[1]!Tabel14[[#This Row],[STOCK ACTUAL]]-[1]!Tabel14[[#This Row],[STOCK SISTEM]]</f>
        <v>0</v>
      </c>
    </row>
    <row r="68" spans="1:8" x14ac:dyDescent="0.25">
      <c r="A68" s="51"/>
      <c r="B68" s="23" t="str">
        <f>IF(ISNUMBER(MATCH([1]!Tabel14[[#This Row],[ITEM ID]],'[1]REFERENSI RAB'!A:A,0)),"RAB","REGULER")</f>
        <v>REGULER</v>
      </c>
      <c r="C68" s="24" t="s">
        <v>102</v>
      </c>
      <c r="D68" s="57" t="s">
        <v>103</v>
      </c>
      <c r="E68" s="26" t="s">
        <v>58</v>
      </c>
      <c r="F68" s="26" t="s">
        <v>141</v>
      </c>
      <c r="G68" s="55">
        <v>0</v>
      </c>
      <c r="H68" s="28">
        <f>[1]!Tabel14[[#This Row],[STOCK ACTUAL]]-[1]!Tabel14[[#This Row],[STOCK SISTEM]]</f>
        <v>0</v>
      </c>
    </row>
    <row r="69" spans="1:8" x14ac:dyDescent="0.25">
      <c r="A69" s="51"/>
      <c r="B69" s="23" t="str">
        <f>IF(ISNUMBER(MATCH([1]!Tabel14[[#This Row],[ITEM ID]],'[1]REFERENSI RAB'!A:A,0)),"RAB","REGULER")</f>
        <v>RAB</v>
      </c>
      <c r="C69" s="24" t="s">
        <v>104</v>
      </c>
      <c r="D69" s="57" t="s">
        <v>105</v>
      </c>
      <c r="E69" s="26" t="s">
        <v>58</v>
      </c>
      <c r="F69" s="26" t="s">
        <v>141</v>
      </c>
      <c r="G69" s="55">
        <v>0</v>
      </c>
      <c r="H69" s="28">
        <f>[1]!Tabel14[[#This Row],[STOCK ACTUAL]]-[1]!Tabel14[[#This Row],[STOCK SISTEM]]</f>
        <v>0</v>
      </c>
    </row>
    <row r="70" spans="1:8" x14ac:dyDescent="0.25">
      <c r="A70" s="53" t="s">
        <v>278</v>
      </c>
      <c r="B70" s="23" t="str">
        <f>IF(ISNUMBER(MATCH([1]!Tabel14[[#This Row],[ITEM ID]],'[1]REFERENSI RAB'!A:A,0)),"RAB","REGULER")</f>
        <v>RAB</v>
      </c>
      <c r="C70" s="24" t="s">
        <v>279</v>
      </c>
      <c r="D70" s="57" t="s">
        <v>280</v>
      </c>
      <c r="E70" s="26" t="s">
        <v>58</v>
      </c>
      <c r="F70" s="26" t="s">
        <v>178</v>
      </c>
      <c r="G70" s="55">
        <v>10</v>
      </c>
      <c r="H70" s="28">
        <f>[1]!Tabel14[[#This Row],[STOCK ACTUAL]]-[1]!Tabel14[[#This Row],[STOCK SISTEM]]</f>
        <v>0</v>
      </c>
    </row>
    <row r="71" spans="1:8" x14ac:dyDescent="0.25">
      <c r="A71" s="51"/>
      <c r="B71" s="23" t="str">
        <f>IF(ISNUMBER(MATCH([1]!Tabel14[[#This Row],[ITEM ID]],'[1]REFERENSI RAB'!A:A,0)),"RAB","REGULER")</f>
        <v>RAB</v>
      </c>
      <c r="C71" s="24" t="s">
        <v>281</v>
      </c>
      <c r="D71" s="57" t="s">
        <v>282</v>
      </c>
      <c r="E71" s="26" t="s">
        <v>58</v>
      </c>
      <c r="F71" s="26" t="s">
        <v>283</v>
      </c>
      <c r="G71" s="55">
        <v>30</v>
      </c>
      <c r="H71" s="28">
        <f>[1]!Tabel14[[#This Row],[STOCK ACTUAL]]-[1]!Tabel14[[#This Row],[STOCK SISTEM]]</f>
        <v>0</v>
      </c>
    </row>
    <row r="72" spans="1:8" x14ac:dyDescent="0.25">
      <c r="A72" s="51"/>
      <c r="B72" s="23" t="str">
        <f>IF(ISNUMBER(MATCH([1]!Tabel14[[#This Row],[ITEM ID]],'[1]REFERENSI RAB'!A:A,0)),"RAB","REGULER")</f>
        <v>RAB</v>
      </c>
      <c r="C72" s="35" t="s">
        <v>106</v>
      </c>
      <c r="D72" s="58" t="s">
        <v>107</v>
      </c>
      <c r="E72" s="26" t="s">
        <v>58</v>
      </c>
      <c r="F72" s="26" t="s">
        <v>141</v>
      </c>
      <c r="G72" s="55">
        <v>0</v>
      </c>
      <c r="H72" s="28">
        <f>[1]!Tabel14[[#This Row],[STOCK ACTUAL]]-[1]!Tabel14[[#This Row],[STOCK SISTEM]]</f>
        <v>0</v>
      </c>
    </row>
    <row r="73" spans="1:8" x14ac:dyDescent="0.25">
      <c r="A73" s="51"/>
      <c r="B73" s="23" t="str">
        <f>IF(ISNUMBER(MATCH([1]!Tabel14[[#This Row],[ITEM ID]],'[1]REFERENSI RAB'!A:A,0)),"RAB","REGULER")</f>
        <v>RAB</v>
      </c>
      <c r="C73" s="24" t="s">
        <v>108</v>
      </c>
      <c r="D73" s="58" t="s">
        <v>109</v>
      </c>
      <c r="E73" s="26" t="s">
        <v>58</v>
      </c>
      <c r="F73" s="26" t="s">
        <v>141</v>
      </c>
      <c r="G73" s="55">
        <v>0</v>
      </c>
      <c r="H73" s="28">
        <f>[1]!Tabel14[[#This Row],[STOCK ACTUAL]]-[1]!Tabel14[[#This Row],[STOCK SISTEM]]</f>
        <v>0</v>
      </c>
    </row>
    <row r="74" spans="1:8" x14ac:dyDescent="0.25">
      <c r="A74" s="56"/>
      <c r="B74" s="23" t="str">
        <f>IF(ISNUMBER(MATCH([1]!Tabel14[[#This Row],[ITEM ID]],'[1]REFERENSI RAB'!A:A,0)),"RAB","REGULER")</f>
        <v>RAB</v>
      </c>
      <c r="C74" s="24" t="s">
        <v>110</v>
      </c>
      <c r="D74" s="52" t="s">
        <v>111</v>
      </c>
      <c r="E74" s="26" t="s">
        <v>58</v>
      </c>
      <c r="F74" s="26" t="s">
        <v>141</v>
      </c>
      <c r="G74" s="59">
        <v>0</v>
      </c>
      <c r="H74" s="28">
        <f>[1]!Tabel14[[#This Row],[STOCK ACTUAL]]-[1]!Tabel14[[#This Row],[STOCK SISTEM]]</f>
        <v>0</v>
      </c>
    </row>
    <row r="75" spans="1:8" x14ac:dyDescent="0.25">
      <c r="A75" s="50"/>
      <c r="B75" s="23" t="str">
        <f>IF(ISNUMBER(MATCH([1]!Tabel14[[#This Row],[ITEM ID]],'[1]REFERENSI RAB'!A:A,0)),"RAB","REGULER")</f>
        <v>RAB</v>
      </c>
      <c r="C75" s="24" t="s">
        <v>284</v>
      </c>
      <c r="D75" s="60" t="s">
        <v>285</v>
      </c>
      <c r="E75" s="26" t="s">
        <v>9</v>
      </c>
      <c r="F75" s="26" t="s">
        <v>286</v>
      </c>
      <c r="G75" s="55">
        <v>40</v>
      </c>
      <c r="H75" s="28">
        <f>[1]!Tabel14[[#This Row],[STOCK ACTUAL]]-[1]!Tabel14[[#This Row],[STOCK SISTEM]]</f>
        <v>0</v>
      </c>
    </row>
    <row r="76" spans="1:8" x14ac:dyDescent="0.25">
      <c r="A76" s="51"/>
      <c r="B76" s="23" t="str">
        <f>IF(ISNUMBER(MATCH([1]!Tabel14[[#This Row],[ITEM ID]],'[1]REFERENSI RAB'!A:A,0)),"RAB","REGULER")</f>
        <v>RAB</v>
      </c>
      <c r="C76" s="24" t="s">
        <v>130</v>
      </c>
      <c r="D76" s="60" t="s">
        <v>131</v>
      </c>
      <c r="E76" s="26" t="s">
        <v>9</v>
      </c>
      <c r="F76" s="26" t="s">
        <v>132</v>
      </c>
      <c r="G76" s="55">
        <v>19</v>
      </c>
      <c r="H76" s="28">
        <f>[1]!Tabel14[[#This Row],[STOCK ACTUAL]]-[1]!Tabel14[[#This Row],[STOCK SISTEM]]</f>
        <v>0</v>
      </c>
    </row>
    <row r="77" spans="1:8" x14ac:dyDescent="0.25">
      <c r="A77" s="51"/>
      <c r="B77" s="23" t="str">
        <f>IF(ISNUMBER(MATCH([1]!Tabel14[[#This Row],[ITEM ID]],'[1]REFERENSI RAB'!A:A,0)),"RAB","REGULER")</f>
        <v>RAB</v>
      </c>
      <c r="C77" s="24" t="s">
        <v>128</v>
      </c>
      <c r="D77" s="60" t="s">
        <v>129</v>
      </c>
      <c r="E77" s="26" t="s">
        <v>9</v>
      </c>
      <c r="F77" s="26" t="s">
        <v>153</v>
      </c>
      <c r="G77" s="55">
        <v>4</v>
      </c>
      <c r="H77" s="28">
        <f>[1]!Tabel14[[#This Row],[STOCK ACTUAL]]-[1]!Tabel14[[#This Row],[STOCK SISTEM]]</f>
        <v>0</v>
      </c>
    </row>
    <row r="78" spans="1:8" x14ac:dyDescent="0.25">
      <c r="A78" s="51"/>
      <c r="B78" s="23" t="str">
        <f>IF(ISNUMBER(MATCH([1]!Tabel14[[#This Row],[ITEM ID]],'[1]REFERENSI RAB'!A:A,0)),"RAB","REGULER")</f>
        <v>RAB</v>
      </c>
      <c r="C78" s="33" t="s">
        <v>287</v>
      </c>
      <c r="D78" s="60" t="s">
        <v>288</v>
      </c>
      <c r="E78" s="26" t="s">
        <v>9</v>
      </c>
      <c r="F78" s="26" t="s">
        <v>289</v>
      </c>
      <c r="G78" s="55">
        <v>44</v>
      </c>
      <c r="H78" s="28">
        <f>[1]!Tabel14[[#This Row],[STOCK ACTUAL]]-[1]!Tabel14[[#This Row],[STOCK SISTEM]]</f>
        <v>0</v>
      </c>
    </row>
    <row r="79" spans="1:8" x14ac:dyDescent="0.25">
      <c r="A79" s="51"/>
      <c r="B79" s="23" t="str">
        <f>IF(ISNUMBER(MATCH([1]!Tabel14[[#This Row],[ITEM ID]],'[1]REFERENSI RAB'!A:A,0)),"RAB","REGULER")</f>
        <v>RAB</v>
      </c>
      <c r="C79" s="24" t="s">
        <v>290</v>
      </c>
      <c r="D79" s="60" t="s">
        <v>291</v>
      </c>
      <c r="E79" s="26" t="s">
        <v>9</v>
      </c>
      <c r="F79" s="26" t="s">
        <v>292</v>
      </c>
      <c r="G79" s="55">
        <v>37</v>
      </c>
      <c r="H79" s="28">
        <f>[1]!Tabel14[[#This Row],[STOCK ACTUAL]]-[1]!Tabel14[[#This Row],[STOCK SISTEM]]</f>
        <v>0</v>
      </c>
    </row>
    <row r="80" spans="1:8" x14ac:dyDescent="0.25">
      <c r="A80" s="51"/>
      <c r="B80" s="23" t="str">
        <f>IF(ISNUMBER(MATCH([1]!Tabel14[[#This Row],[ITEM ID]],'[1]REFERENSI RAB'!A:A,0)),"RAB","REGULER")</f>
        <v>RAB</v>
      </c>
      <c r="C80" s="24" t="s">
        <v>293</v>
      </c>
      <c r="D80" s="60" t="s">
        <v>294</v>
      </c>
      <c r="E80" s="26" t="s">
        <v>31</v>
      </c>
      <c r="F80" s="26" t="s">
        <v>295</v>
      </c>
      <c r="G80" s="55">
        <v>39</v>
      </c>
      <c r="H80" s="28">
        <f>[1]!Tabel14[[#This Row],[STOCK ACTUAL]]-[1]!Tabel14[[#This Row],[STOCK SISTEM]]</f>
        <v>2</v>
      </c>
    </row>
    <row r="81" spans="1:8" x14ac:dyDescent="0.25">
      <c r="A81" s="51"/>
      <c r="B81" s="23" t="str">
        <f>IF(ISNUMBER(MATCH([1]!Tabel14[[#This Row],[ITEM ID]],'[1]REFERENSI RAB'!A:A,0)),"RAB","REGULER")</f>
        <v>RAB</v>
      </c>
      <c r="C81" s="24" t="s">
        <v>296</v>
      </c>
      <c r="D81" s="60" t="s">
        <v>297</v>
      </c>
      <c r="E81" s="26" t="s">
        <v>9</v>
      </c>
      <c r="F81" s="26" t="s">
        <v>145</v>
      </c>
      <c r="G81" s="55">
        <v>2</v>
      </c>
      <c r="H81" s="28">
        <f>[1]!Tabel14[[#This Row],[STOCK ACTUAL]]-[1]!Tabel14[[#This Row],[STOCK SISTEM]]</f>
        <v>0</v>
      </c>
    </row>
    <row r="82" spans="1:8" x14ac:dyDescent="0.25">
      <c r="A82" s="51"/>
      <c r="B82" s="23" t="str">
        <f>IF(ISNUMBER(MATCH([1]!Tabel14[[#This Row],[ITEM ID]],'[1]REFERENSI RAB'!A:A,0)),"RAB","REGULER")</f>
        <v>RAB</v>
      </c>
      <c r="C82" s="24" t="s">
        <v>298</v>
      </c>
      <c r="D82" s="60" t="s">
        <v>299</v>
      </c>
      <c r="E82" s="26" t="s">
        <v>9</v>
      </c>
      <c r="F82" s="26" t="s">
        <v>145</v>
      </c>
      <c r="G82" s="55">
        <v>2</v>
      </c>
      <c r="H82" s="28">
        <f>[1]!Tabel14[[#This Row],[STOCK ACTUAL]]-[1]!Tabel14[[#This Row],[STOCK SISTEM]]</f>
        <v>0</v>
      </c>
    </row>
    <row r="83" spans="1:8" x14ac:dyDescent="0.25">
      <c r="A83" s="51"/>
      <c r="B83" s="23" t="str">
        <f>IF(ISNUMBER(MATCH([1]!Tabel14[[#This Row],[ITEM ID]],'[1]REFERENSI RAB'!A:A,0)),"RAB","REGULER")</f>
        <v>RAB</v>
      </c>
      <c r="C83" s="24" t="s">
        <v>300</v>
      </c>
      <c r="D83" s="60" t="s">
        <v>301</v>
      </c>
      <c r="E83" s="26" t="s">
        <v>31</v>
      </c>
      <c r="F83" s="26" t="s">
        <v>187</v>
      </c>
      <c r="G83" s="55">
        <v>3</v>
      </c>
      <c r="H83" s="28">
        <f>[1]!Tabel14[[#This Row],[STOCK ACTUAL]]-[1]!Tabel14[[#This Row],[STOCK SISTEM]]</f>
        <v>1</v>
      </c>
    </row>
    <row r="84" spans="1:8" x14ac:dyDescent="0.25">
      <c r="A84" s="51"/>
      <c r="B84" s="23" t="str">
        <f>IF(ISNUMBER(MATCH([1]!Tabel14[[#This Row],[ITEM ID]],'[1]REFERENSI RAB'!A:A,0)),"RAB","REGULER")</f>
        <v>RAB</v>
      </c>
      <c r="C84" s="33" t="s">
        <v>302</v>
      </c>
      <c r="D84" s="60" t="s">
        <v>303</v>
      </c>
      <c r="E84" s="26" t="s">
        <v>9</v>
      </c>
      <c r="F84" s="26" t="s">
        <v>153</v>
      </c>
      <c r="G84" s="55">
        <v>4</v>
      </c>
      <c r="H84" s="28">
        <f>[1]!Tabel14[[#This Row],[STOCK ACTUAL]]-[1]!Tabel14[[#This Row],[STOCK SISTEM]]</f>
        <v>0</v>
      </c>
    </row>
    <row r="85" spans="1:8" x14ac:dyDescent="0.25">
      <c r="A85" s="53" t="s">
        <v>304</v>
      </c>
      <c r="B85" s="23" t="str">
        <f>IF(ISNUMBER(MATCH([1]!Tabel14[[#This Row],[ITEM ID]],'[1]REFERENSI RAB'!A:A,0)),"RAB","REGULER")</f>
        <v>RAB</v>
      </c>
      <c r="C85" s="33" t="s">
        <v>114</v>
      </c>
      <c r="D85" s="60" t="s">
        <v>115</v>
      </c>
      <c r="E85" s="26" t="s">
        <v>9</v>
      </c>
      <c r="F85" s="26" t="s">
        <v>141</v>
      </c>
      <c r="G85" s="55">
        <v>0</v>
      </c>
      <c r="H85" s="28">
        <f>[1]!Tabel14[[#This Row],[STOCK ACTUAL]]-[1]!Tabel14[[#This Row],[STOCK SISTEM]]</f>
        <v>1</v>
      </c>
    </row>
    <row r="86" spans="1:8" x14ac:dyDescent="0.25">
      <c r="A86" s="51"/>
      <c r="B86" s="23" t="str">
        <f>IF(ISNUMBER(MATCH([1]!Tabel14[[#This Row],[ITEM ID]],'[1]REFERENSI RAB'!A:A,0)),"RAB","REGULER")</f>
        <v>RAB</v>
      </c>
      <c r="C86" s="24" t="s">
        <v>305</v>
      </c>
      <c r="D86" s="60" t="s">
        <v>306</v>
      </c>
      <c r="E86" s="26" t="s">
        <v>31</v>
      </c>
      <c r="F86" s="26" t="s">
        <v>178</v>
      </c>
      <c r="G86" s="55">
        <v>10</v>
      </c>
      <c r="H86" s="28">
        <f>[1]!Tabel14[[#This Row],[STOCK ACTUAL]]-[1]!Tabel14[[#This Row],[STOCK SISTEM]]</f>
        <v>1</v>
      </c>
    </row>
    <row r="87" spans="1:8" x14ac:dyDescent="0.25">
      <c r="A87" s="51"/>
      <c r="B87" s="23" t="str">
        <f>IF(ISNUMBER(MATCH([1]!Tabel14[[#This Row],[ITEM ID]],'[1]REFERENSI RAB'!A:A,0)),"RAB","REGULER")</f>
        <v>RAB</v>
      </c>
      <c r="C87" s="24" t="s">
        <v>307</v>
      </c>
      <c r="D87" s="60" t="s">
        <v>308</v>
      </c>
      <c r="E87" s="26" t="s">
        <v>9</v>
      </c>
      <c r="F87" s="26" t="s">
        <v>309</v>
      </c>
      <c r="G87" s="55">
        <v>17</v>
      </c>
      <c r="H87" s="28">
        <f>[1]!Tabel14[[#This Row],[STOCK ACTUAL]]-[1]!Tabel14[[#This Row],[STOCK SISTEM]]</f>
        <v>0</v>
      </c>
    </row>
    <row r="88" spans="1:8" x14ac:dyDescent="0.25">
      <c r="A88" s="51"/>
      <c r="B88" s="23" t="str">
        <f>IF(ISNUMBER(MATCH([1]!Tabel14[[#This Row],[ITEM ID]],'[1]REFERENSI RAB'!A:A,0)),"RAB","REGULER")</f>
        <v>RAB</v>
      </c>
      <c r="C88" s="24" t="s">
        <v>310</v>
      </c>
      <c r="D88" s="60" t="s">
        <v>311</v>
      </c>
      <c r="E88" s="26" t="s">
        <v>31</v>
      </c>
      <c r="F88" s="26" t="s">
        <v>140</v>
      </c>
      <c r="G88" s="55">
        <v>7</v>
      </c>
      <c r="H88" s="28">
        <f>[1]!Tabel14[[#This Row],[STOCK ACTUAL]]-[1]!Tabel14[[#This Row],[STOCK SISTEM]]</f>
        <v>0</v>
      </c>
    </row>
    <row r="89" spans="1:8" x14ac:dyDescent="0.25">
      <c r="A89" s="51"/>
      <c r="B89" s="23" t="str">
        <f>IF(ISNUMBER(MATCH([1]!Tabel14[[#This Row],[ITEM ID]],'[1]REFERENSI RAB'!A:A,0)),"RAB","REGULER")</f>
        <v>RAB</v>
      </c>
      <c r="C89" s="24" t="s">
        <v>312</v>
      </c>
      <c r="D89" s="60" t="s">
        <v>313</v>
      </c>
      <c r="E89" s="26" t="s">
        <v>31</v>
      </c>
      <c r="F89" s="26" t="s">
        <v>314</v>
      </c>
      <c r="G89" s="55">
        <v>28</v>
      </c>
      <c r="H89" s="28">
        <f>[1]!Tabel14[[#This Row],[STOCK ACTUAL]]-[1]!Tabel14[[#This Row],[STOCK SISTEM]]</f>
        <v>0</v>
      </c>
    </row>
    <row r="90" spans="1:8" x14ac:dyDescent="0.25">
      <c r="A90" s="51"/>
      <c r="B90" s="23" t="str">
        <f>IF(ISNUMBER(MATCH([1]!Tabel14[[#This Row],[ITEM ID]],'[1]REFERENSI RAB'!A:A,0)),"RAB","REGULER")</f>
        <v>RAB</v>
      </c>
      <c r="C90" s="24" t="s">
        <v>315</v>
      </c>
      <c r="D90" s="60" t="s">
        <v>316</v>
      </c>
      <c r="E90" s="26" t="s">
        <v>31</v>
      </c>
      <c r="F90" s="26" t="s">
        <v>178</v>
      </c>
      <c r="G90" s="55">
        <v>10</v>
      </c>
      <c r="H90" s="28">
        <f>[1]!Tabel14[[#This Row],[STOCK ACTUAL]]-[1]!Tabel14[[#This Row],[STOCK SISTEM]]</f>
        <v>2</v>
      </c>
    </row>
    <row r="91" spans="1:8" x14ac:dyDescent="0.25">
      <c r="A91" s="51"/>
      <c r="B91" s="23" t="str">
        <f>IF(ISNUMBER(MATCH([1]!Tabel14[[#This Row],[ITEM ID]],'[1]REFERENSI RAB'!A:A,0)),"RAB","REGULER")</f>
        <v>RAB</v>
      </c>
      <c r="C91" s="24" t="s">
        <v>317</v>
      </c>
      <c r="D91" s="60" t="s">
        <v>318</v>
      </c>
      <c r="E91" s="26" t="s">
        <v>9</v>
      </c>
      <c r="F91" s="26" t="s">
        <v>319</v>
      </c>
      <c r="G91" s="55">
        <v>82</v>
      </c>
      <c r="H91" s="28">
        <f>[1]!Tabel14[[#This Row],[STOCK ACTUAL]]-[1]!Tabel14[[#This Row],[STOCK SISTEM]]</f>
        <v>0</v>
      </c>
    </row>
    <row r="92" spans="1:8" x14ac:dyDescent="0.25">
      <c r="A92" s="51"/>
      <c r="B92" s="23" t="str">
        <f>IF(ISNUMBER(MATCH([1]!Tabel14[[#This Row],[ITEM ID]],'[1]REFERENSI RAB'!A:A,0)),"RAB","REGULER")</f>
        <v>RAB</v>
      </c>
      <c r="C92" s="24" t="s">
        <v>320</v>
      </c>
      <c r="D92" s="60" t="s">
        <v>321</v>
      </c>
      <c r="E92" s="26" t="s">
        <v>31</v>
      </c>
      <c r="F92" s="26" t="s">
        <v>187</v>
      </c>
      <c r="G92" s="55">
        <v>3</v>
      </c>
      <c r="H92" s="28">
        <f>[1]!Tabel14[[#This Row],[STOCK ACTUAL]]-[1]!Tabel14[[#This Row],[STOCK SISTEM]]</f>
        <v>7</v>
      </c>
    </row>
    <row r="93" spans="1:8" x14ac:dyDescent="0.25">
      <c r="A93" s="51"/>
      <c r="B93" s="23" t="str">
        <f>IF(ISNUMBER(MATCH([1]!Tabel14[[#This Row],[ITEM ID]],'[1]REFERENSI RAB'!A:A,0)),"RAB","REGULER")</f>
        <v>RAB</v>
      </c>
      <c r="C93" s="24" t="s">
        <v>322</v>
      </c>
      <c r="D93" s="60" t="s">
        <v>323</v>
      </c>
      <c r="E93" s="26" t="s">
        <v>31</v>
      </c>
      <c r="F93" s="26" t="s">
        <v>187</v>
      </c>
      <c r="G93" s="55">
        <v>3</v>
      </c>
      <c r="H93" s="28">
        <f>[1]!Tabel14[[#This Row],[STOCK ACTUAL]]-[1]!Tabel14[[#This Row],[STOCK SISTEM]]</f>
        <v>0</v>
      </c>
    </row>
    <row r="94" spans="1:8" x14ac:dyDescent="0.25">
      <c r="A94" s="51"/>
      <c r="B94" s="23" t="str">
        <f>IF(ISNUMBER(MATCH([1]!Tabel14[[#This Row],[ITEM ID]],'[1]REFERENSI RAB'!A:A,0)),"RAB","REGULER")</f>
        <v>REGULER</v>
      </c>
      <c r="C94" s="24" t="s">
        <v>324</v>
      </c>
      <c r="D94" s="60" t="s">
        <v>325</v>
      </c>
      <c r="E94" s="26" t="s">
        <v>31</v>
      </c>
      <c r="F94" s="26" t="s">
        <v>172</v>
      </c>
      <c r="G94" s="55">
        <v>1</v>
      </c>
      <c r="H94" s="28">
        <f>[1]!Tabel14[[#This Row],[STOCK ACTUAL]]-[1]!Tabel14[[#This Row],[STOCK SISTEM]]</f>
        <v>8</v>
      </c>
    </row>
    <row r="95" spans="1:8" x14ac:dyDescent="0.25">
      <c r="A95" s="51"/>
      <c r="B95" s="23" t="str">
        <f>IF(ISNUMBER(MATCH([1]!Tabel14[[#This Row],[ITEM ID]],'[1]REFERENSI RAB'!A:A,0)),"RAB","REGULER")</f>
        <v>REGULER</v>
      </c>
      <c r="C95" s="24" t="s">
        <v>326</v>
      </c>
      <c r="D95" s="57" t="s">
        <v>327</v>
      </c>
      <c r="E95" s="26" t="s">
        <v>31</v>
      </c>
      <c r="F95" s="26" t="s">
        <v>172</v>
      </c>
      <c r="G95" s="55">
        <v>1</v>
      </c>
      <c r="H95" s="28">
        <f>[1]!Tabel14[[#This Row],[STOCK ACTUAL]]-[1]!Tabel14[[#This Row],[STOCK SISTEM]]</f>
        <v>0</v>
      </c>
    </row>
    <row r="96" spans="1:8" x14ac:dyDescent="0.25">
      <c r="A96" s="51"/>
      <c r="B96" s="23" t="str">
        <f>IF(ISNUMBER(MATCH([1]!Tabel14[[#This Row],[ITEM ID]],'[1]REFERENSI RAB'!A:A,0)),"RAB","REGULER")</f>
        <v>REGULER</v>
      </c>
      <c r="C96" s="24" t="s">
        <v>328</v>
      </c>
      <c r="D96" s="57" t="s">
        <v>329</v>
      </c>
      <c r="E96" s="26" t="s">
        <v>9</v>
      </c>
      <c r="F96" s="26" t="s">
        <v>172</v>
      </c>
      <c r="G96" s="55">
        <v>1</v>
      </c>
      <c r="H96" s="28">
        <f>[1]!Tabel14[[#This Row],[STOCK ACTUAL]]-[1]!Tabel14[[#This Row],[STOCK SISTEM]]</f>
        <v>0</v>
      </c>
    </row>
    <row r="97" spans="1:8" x14ac:dyDescent="0.25">
      <c r="A97" s="51"/>
      <c r="B97" s="23" t="str">
        <f>IF(ISNUMBER(MATCH([1]!Tabel14[[#This Row],[ITEM ID]],'[1]REFERENSI RAB'!A:A,0)),"RAB","REGULER")</f>
        <v>REGULER</v>
      </c>
      <c r="C97" s="24" t="s">
        <v>330</v>
      </c>
      <c r="D97" s="57" t="s">
        <v>331</v>
      </c>
      <c r="E97" s="26" t="s">
        <v>9</v>
      </c>
      <c r="F97" s="26" t="s">
        <v>172</v>
      </c>
      <c r="G97" s="55">
        <v>1</v>
      </c>
      <c r="H97" s="28">
        <f>[1]!Tabel14[[#This Row],[STOCK ACTUAL]]-[1]!Tabel14[[#This Row],[STOCK SISTEM]]</f>
        <v>0</v>
      </c>
    </row>
    <row r="98" spans="1:8" x14ac:dyDescent="0.25">
      <c r="A98" s="56"/>
      <c r="B98" s="61" t="str">
        <f>IF(ISNUMBER(MATCH([1]!Tabel14[[#This Row],[ITEM ID]],'[1]REFERENSI RAB'!A:A,0)),"RAB","REGULER")</f>
        <v>REGULER</v>
      </c>
      <c r="C98" s="24" t="s">
        <v>332</v>
      </c>
      <c r="D98" s="57" t="s">
        <v>333</v>
      </c>
      <c r="E98" s="26" t="s">
        <v>31</v>
      </c>
      <c r="F98" s="26" t="s">
        <v>172</v>
      </c>
      <c r="G98" s="55">
        <v>1</v>
      </c>
      <c r="H98" s="28">
        <f>[1]!Tabel14[[#This Row],[STOCK ACTUAL]]-[1]!Tabel14[[#This Row],[STOCK SISTEM]]</f>
        <v>0</v>
      </c>
    </row>
    <row r="99" spans="1:8" x14ac:dyDescent="0.25">
      <c r="A99" s="62"/>
      <c r="B99" s="33" t="str">
        <f>IF(ISNUMBER(MATCH([1]!Tabel14[[#This Row],[ITEM ID]],'[1]REFERENSI RAB'!A:A,0)),"RAB","REGULER")</f>
        <v>REGULER</v>
      </c>
      <c r="C99" s="63" t="s">
        <v>334</v>
      </c>
      <c r="D99" s="57" t="s">
        <v>335</v>
      </c>
      <c r="E99" s="26" t="s">
        <v>9</v>
      </c>
      <c r="F99" s="26" t="s">
        <v>336</v>
      </c>
      <c r="G99" s="55">
        <v>22</v>
      </c>
      <c r="H99" s="28">
        <f>[1]!Tabel14[[#This Row],[STOCK ACTUAL]]-[1]!Tabel14[[#This Row],[STOCK SISTEM]]</f>
        <v>0</v>
      </c>
    </row>
    <row r="100" spans="1:8" x14ac:dyDescent="0.25">
      <c r="A100" s="32"/>
      <c r="B100" s="33" t="str">
        <f>IF(ISNUMBER(MATCH([1]!Tabel14[[#This Row],[ITEM ID]],'[1]REFERENSI RAB'!A:A,0)),"RAB","REGULER")</f>
        <v>REGULER</v>
      </c>
      <c r="C100" s="63" t="s">
        <v>337</v>
      </c>
      <c r="D100" s="57" t="s">
        <v>338</v>
      </c>
      <c r="E100" s="26" t="s">
        <v>9</v>
      </c>
      <c r="F100" s="26" t="s">
        <v>339</v>
      </c>
      <c r="G100" s="55">
        <v>24</v>
      </c>
      <c r="H100" s="28">
        <f>[1]!Tabel14[[#This Row],[STOCK ACTUAL]]-[1]!Tabel14[[#This Row],[STOCK SISTEM]]</f>
        <v>0</v>
      </c>
    </row>
    <row r="101" spans="1:8" x14ac:dyDescent="0.25">
      <c r="A101" s="32"/>
      <c r="B101" s="33" t="str">
        <f>IF(ISNUMBER(MATCH([1]!Tabel14[[#This Row],[ITEM ID]],'[1]REFERENSI RAB'!A:A,0)),"RAB","REGULER")</f>
        <v>REGULER</v>
      </c>
      <c r="C101" s="63" t="s">
        <v>340</v>
      </c>
      <c r="D101" s="57" t="s">
        <v>341</v>
      </c>
      <c r="E101" s="26" t="s">
        <v>9</v>
      </c>
      <c r="F101" s="26" t="s">
        <v>342</v>
      </c>
      <c r="G101" s="55">
        <v>37</v>
      </c>
      <c r="H101" s="28">
        <f>[1]!Tabel14[[#This Row],[STOCK ACTUAL]]-[1]!Tabel14[[#This Row],[STOCK SISTEM]]</f>
        <v>0</v>
      </c>
    </row>
    <row r="102" spans="1:8" x14ac:dyDescent="0.25">
      <c r="A102" s="32"/>
      <c r="B102" s="33" t="str">
        <f>IF(ISNUMBER(MATCH([1]!Tabel14[[#This Row],[ITEM ID]],'[1]REFERENSI RAB'!A:A,0)),"RAB","REGULER")</f>
        <v>REGULER</v>
      </c>
      <c r="C102" s="63" t="s">
        <v>343</v>
      </c>
      <c r="D102" s="54" t="s">
        <v>344</v>
      </c>
      <c r="E102" s="26" t="s">
        <v>9</v>
      </c>
      <c r="F102" s="26" t="s">
        <v>345</v>
      </c>
      <c r="G102" s="55">
        <v>3</v>
      </c>
      <c r="H102" s="28">
        <f>[1]!Tabel14[[#This Row],[STOCK ACTUAL]]-[1]!Tabel14[[#This Row],[STOCK SISTEM]]</f>
        <v>0</v>
      </c>
    </row>
    <row r="103" spans="1:8" x14ac:dyDescent="0.25">
      <c r="A103" s="22" t="s">
        <v>346</v>
      </c>
      <c r="B103" s="33" t="str">
        <f>IF(ISNUMBER(MATCH([1]!Tabel14[[#This Row],[ITEM ID]],'[1]REFERENSI RAB'!A:A,0)),"RAB","REGULER")</f>
        <v>RAB</v>
      </c>
      <c r="C103" s="63" t="s">
        <v>347</v>
      </c>
      <c r="D103" s="57" t="s">
        <v>348</v>
      </c>
      <c r="E103" s="26" t="s">
        <v>9</v>
      </c>
      <c r="F103" s="26" t="s">
        <v>349</v>
      </c>
      <c r="G103" s="55">
        <v>48</v>
      </c>
      <c r="H103" s="28">
        <f>[1]!Tabel14[[#This Row],[STOCK ACTUAL]]-[1]!Tabel14[[#This Row],[STOCK SISTEM]]</f>
        <v>0</v>
      </c>
    </row>
    <row r="104" spans="1:8" x14ac:dyDescent="0.25">
      <c r="A104" s="32"/>
      <c r="B104" s="33" t="str">
        <f>IF(ISNUMBER(MATCH([1]!Tabel14[[#This Row],[ITEM ID]],'[1]REFERENSI RAB'!A:A,0)),"RAB","REGULER")</f>
        <v>RAB</v>
      </c>
      <c r="C104" s="63" t="s">
        <v>350</v>
      </c>
      <c r="D104" s="57" t="s">
        <v>351</v>
      </c>
      <c r="E104" s="26" t="s">
        <v>9</v>
      </c>
      <c r="F104" s="26" t="s">
        <v>352</v>
      </c>
      <c r="G104" s="55">
        <v>47</v>
      </c>
      <c r="H104" s="28">
        <f>[1]!Tabel14[[#This Row],[STOCK ACTUAL]]-[1]!Tabel14[[#This Row],[STOCK SISTEM]]</f>
        <v>0</v>
      </c>
    </row>
    <row r="105" spans="1:8" x14ac:dyDescent="0.25">
      <c r="A105" s="32"/>
      <c r="B105" s="33" t="str">
        <f>IF(ISNUMBER(MATCH([1]!Tabel14[[#This Row],[ITEM ID]],'[1]REFERENSI RAB'!A:A,0)),"RAB","REGULER")</f>
        <v>RAB</v>
      </c>
      <c r="C105" s="24" t="s">
        <v>7</v>
      </c>
      <c r="D105" s="57" t="s">
        <v>8</v>
      </c>
      <c r="E105" s="26" t="s">
        <v>9</v>
      </c>
      <c r="F105" s="26" t="s">
        <v>141</v>
      </c>
      <c r="G105" s="55">
        <v>0</v>
      </c>
      <c r="H105" s="28">
        <f>[1]!Tabel14[[#This Row],[STOCK ACTUAL]]-[1]!Tabel14[[#This Row],[STOCK SISTEM]]</f>
        <v>1</v>
      </c>
    </row>
    <row r="106" spans="1:8" x14ac:dyDescent="0.25">
      <c r="A106" s="32"/>
      <c r="B106" s="63" t="str">
        <f>IF(ISNUMBER(MATCH([1]!Tabel14[[#This Row],[ITEM ID]],'[1]REFERENSI RAB'!A:A,0)),"RAB","REGULER")</f>
        <v>RAB</v>
      </c>
      <c r="C106" s="33" t="s">
        <v>10</v>
      </c>
      <c r="D106" s="47" t="s">
        <v>11</v>
      </c>
      <c r="E106" s="26" t="s">
        <v>9</v>
      </c>
      <c r="F106" s="26" t="s">
        <v>145</v>
      </c>
      <c r="G106" s="55">
        <v>2</v>
      </c>
      <c r="H106" s="63">
        <f>[1]!Tabel14[[#This Row],[STOCK ACTUAL]]-[1]!Tabel14[[#This Row],[STOCK SISTEM]]</f>
        <v>-8</v>
      </c>
    </row>
    <row r="107" spans="1:8" x14ac:dyDescent="0.25">
      <c r="A107" s="32"/>
      <c r="B107" s="63" t="str">
        <f>IF(ISNUMBER(MATCH([1]!Tabel14[[#This Row],[ITEM ID]],'[1]REFERENSI RAB'!A:A,0)),"RAB","REGULER")</f>
        <v>RAB</v>
      </c>
      <c r="C107" s="64" t="s">
        <v>12</v>
      </c>
      <c r="D107" s="65" t="s">
        <v>13</v>
      </c>
      <c r="E107" s="26" t="s">
        <v>9</v>
      </c>
      <c r="F107" s="26" t="s">
        <v>353</v>
      </c>
      <c r="G107" s="55">
        <v>9</v>
      </c>
      <c r="H107" s="63">
        <f>[1]!Tabel14[[#This Row],[STOCK ACTUAL]]-[1]!Tabel14[[#This Row],[STOCK SISTEM]]</f>
        <v>2</v>
      </c>
    </row>
    <row r="108" spans="1:8" x14ac:dyDescent="0.25">
      <c r="A108" s="66"/>
      <c r="B108" s="33" t="str">
        <f>IF(ISNUMBER(MATCH([1]!Tabel14[[#This Row],[ITEM ID]],'[1]REFERENSI RAB'!A:A,0)),"RAB","REGULER")</f>
        <v>RAB</v>
      </c>
      <c r="C108" s="63" t="s">
        <v>354</v>
      </c>
      <c r="D108" s="47" t="s">
        <v>355</v>
      </c>
      <c r="E108" s="26" t="s">
        <v>9</v>
      </c>
      <c r="F108" s="26" t="s">
        <v>141</v>
      </c>
      <c r="G108" s="48">
        <v>0</v>
      </c>
      <c r="H108" s="28">
        <f>[1]!Tabel14[[#This Row],[STOCK ACTUAL]]-[1]!Tabel14[[#This Row],[STOCK SISTEM]]</f>
        <v>5</v>
      </c>
    </row>
    <row r="109" spans="1:8" x14ac:dyDescent="0.25">
      <c r="A109" s="62" t="s">
        <v>356</v>
      </c>
      <c r="B109" s="33" t="str">
        <f>IF(ISNUMBER(MATCH([1]!Tabel14[[#This Row],[ITEM ID]],'[1]REFERENSI RAB'!A:A,0)),"RAB","REGULER")</f>
        <v>RAB</v>
      </c>
      <c r="C109" s="33" t="s">
        <v>357</v>
      </c>
      <c r="D109" s="47" t="s">
        <v>358</v>
      </c>
      <c r="E109" s="26" t="s">
        <v>9</v>
      </c>
      <c r="F109" s="26" t="s">
        <v>172</v>
      </c>
      <c r="G109" s="48">
        <v>1</v>
      </c>
      <c r="H109" s="28">
        <f>[1]!Tabel14[[#This Row],[STOCK ACTUAL]]-[1]!Tabel14[[#This Row],[STOCK SISTEM]]</f>
        <v>0</v>
      </c>
    </row>
    <row r="110" spans="1:8" x14ac:dyDescent="0.25">
      <c r="A110" s="66" t="s">
        <v>356</v>
      </c>
      <c r="B110" s="33" t="str">
        <f>IF(ISNUMBER(MATCH([1]!Tabel14[[#This Row],[ITEM ID]],'[1]REFERENSI RAB'!A:A,0)),"RAB","REGULER")</f>
        <v>RAB</v>
      </c>
      <c r="C110" s="33" t="s">
        <v>359</v>
      </c>
      <c r="D110" s="47" t="s">
        <v>360</v>
      </c>
      <c r="E110" s="26" t="s">
        <v>361</v>
      </c>
      <c r="F110" s="26" t="s">
        <v>187</v>
      </c>
      <c r="G110" s="48">
        <v>3</v>
      </c>
      <c r="H110" s="28">
        <f>[1]!Tabel14[[#This Row],[STOCK ACTUAL]]-[1]!Tabel14[[#This Row],[STOCK SISTEM]]</f>
        <v>0</v>
      </c>
    </row>
    <row r="111" spans="1:8" x14ac:dyDescent="0.25">
      <c r="A111" s="32"/>
      <c r="B111" s="63" t="str">
        <f>IF(ISNUMBER(MATCH([1]!Tabel14[[#This Row],[ITEM ID]],'[1]REFERENSI RAB'!A:A,0)),"RAB","REGULER")</f>
        <v>RAB</v>
      </c>
      <c r="C111" s="33" t="s">
        <v>362</v>
      </c>
      <c r="D111" s="47" t="s">
        <v>363</v>
      </c>
      <c r="E111" s="26" t="s">
        <v>9</v>
      </c>
      <c r="F111" s="26" t="s">
        <v>141</v>
      </c>
      <c r="G111" s="55">
        <v>0</v>
      </c>
      <c r="H111" s="63">
        <f>[1]!Tabel14[[#This Row],[STOCK ACTUAL]]-[1]!Tabel14[[#This Row],[STOCK SISTEM]]</f>
        <v>1</v>
      </c>
    </row>
    <row r="112" spans="1:8" x14ac:dyDescent="0.25">
      <c r="A112" s="32"/>
      <c r="B112" s="63" t="str">
        <f>IF(ISNUMBER(MATCH([1]!Tabel14[[#This Row],[ITEM ID]],'[1]REFERENSI RAB'!A:A,0)),"RAB","REGULER")</f>
        <v>RAB</v>
      </c>
      <c r="C112" s="33" t="s">
        <v>364</v>
      </c>
      <c r="D112" s="47" t="s">
        <v>365</v>
      </c>
      <c r="E112" s="26" t="s">
        <v>21</v>
      </c>
      <c r="F112" s="26" t="s">
        <v>353</v>
      </c>
      <c r="G112" s="55">
        <v>5</v>
      </c>
      <c r="H112" s="63">
        <f>[1]!Tabel14[[#This Row],[STOCK ACTUAL]]-[1]!Tabel14[[#This Row],[STOCK SISTEM]]</f>
        <v>0</v>
      </c>
    </row>
    <row r="113" spans="1:8" x14ac:dyDescent="0.25">
      <c r="A113" s="32"/>
      <c r="B113" s="63" t="str">
        <f>IF(ISNUMBER(MATCH([1]!Tabel14[[#This Row],[ITEM ID]],'[1]REFERENSI RAB'!A:A,0)),"RAB","REGULER")</f>
        <v>REGULER</v>
      </c>
      <c r="C113" s="33" t="s">
        <v>366</v>
      </c>
      <c r="D113" s="47" t="s">
        <v>367</v>
      </c>
      <c r="E113" s="26" t="s">
        <v>368</v>
      </c>
      <c r="F113" s="26" t="s">
        <v>172</v>
      </c>
      <c r="G113" s="55">
        <v>0</v>
      </c>
      <c r="H113" s="63">
        <f>[1]!Tabel14[[#This Row],[STOCK ACTUAL]]-[1]!Tabel14[[#This Row],[STOCK SISTEM]]</f>
        <v>0</v>
      </c>
    </row>
    <row r="114" spans="1:8" x14ac:dyDescent="0.25">
      <c r="A114" s="32"/>
      <c r="B114" s="63" t="str">
        <f>IF(ISNUMBER(MATCH([1]!Tabel14[[#This Row],[ITEM ID]],'[1]REFERENSI RAB'!A:A,0)),"RAB","REGULER")</f>
        <v>REGULER</v>
      </c>
      <c r="C114" s="64" t="s">
        <v>15</v>
      </c>
      <c r="D114" s="65" t="s">
        <v>16</v>
      </c>
      <c r="E114" s="26" t="s">
        <v>9</v>
      </c>
      <c r="F114" s="26" t="s">
        <v>141</v>
      </c>
      <c r="G114" s="55">
        <v>0</v>
      </c>
      <c r="H114" s="63">
        <f>[1]!Tabel14[[#This Row],[STOCK ACTUAL]]-[1]!Tabel14[[#This Row],[STOCK SISTEM]]</f>
        <v>0</v>
      </c>
    </row>
    <row r="115" spans="1:8" x14ac:dyDescent="0.25">
      <c r="A115" s="32"/>
      <c r="B115" s="63" t="str">
        <f>IF(ISNUMBER(MATCH([1]!Tabel14[[#This Row],[ITEM ID]],'[1]REFERENSI RAB'!A:A,0)),"RAB","REGULER")</f>
        <v>RAB</v>
      </c>
      <c r="C115" s="64" t="s">
        <v>17</v>
      </c>
      <c r="D115" s="65" t="s">
        <v>18</v>
      </c>
      <c r="E115" s="26" t="s">
        <v>9</v>
      </c>
      <c r="F115" s="26" t="s">
        <v>141</v>
      </c>
      <c r="G115" s="55">
        <v>1</v>
      </c>
      <c r="H115" s="63">
        <f>[1]!Tabel14[[#This Row],[STOCK ACTUAL]]-[1]!Tabel14[[#This Row],[STOCK SISTEM]]</f>
        <v>0</v>
      </c>
    </row>
    <row r="116" spans="1:8" x14ac:dyDescent="0.25">
      <c r="A116" s="32"/>
      <c r="B116" s="63" t="str">
        <f>IF(ISNUMBER(MATCH([1]!Tabel14[[#This Row],[ITEM ID]],'[1]REFERENSI RAB'!A:A,0)),"RAB","REGULER")</f>
        <v>RAB</v>
      </c>
      <c r="C116" s="33" t="s">
        <v>22</v>
      </c>
      <c r="D116" s="47" t="s">
        <v>23</v>
      </c>
      <c r="E116" s="26" t="s">
        <v>24</v>
      </c>
      <c r="F116" s="26" t="s">
        <v>187</v>
      </c>
      <c r="G116" s="55">
        <v>1</v>
      </c>
      <c r="H116" s="63">
        <f>[1]!Tabel14[[#This Row],[STOCK ACTUAL]]-[1]!Tabel14[[#This Row],[STOCK SISTEM]]</f>
        <v>0</v>
      </c>
    </row>
    <row r="117" spans="1:8" x14ac:dyDescent="0.25">
      <c r="A117" s="32"/>
      <c r="B117" s="63" t="str">
        <f>IF(ISNUMBER(MATCH([1]!Tabel14[[#This Row],[ITEM ID]],'[1]REFERENSI RAB'!A:A,0)),"RAB","REGULER")</f>
        <v>RAB</v>
      </c>
      <c r="C117" s="33" t="s">
        <v>19</v>
      </c>
      <c r="D117" s="47" t="s">
        <v>20</v>
      </c>
      <c r="E117" s="26" t="s">
        <v>21</v>
      </c>
      <c r="F117" s="26" t="s">
        <v>141</v>
      </c>
      <c r="G117" s="55">
        <v>0</v>
      </c>
      <c r="H117" s="63">
        <f>[1]!Tabel14[[#This Row],[STOCK ACTUAL]]-[1]!Tabel14[[#This Row],[STOCK SISTEM]]</f>
        <v>0</v>
      </c>
    </row>
    <row r="118" spans="1:8" x14ac:dyDescent="0.25">
      <c r="A118" s="32"/>
      <c r="B118" s="63" t="str">
        <f>IF(ISNUMBER(MATCH([1]!Tabel14[[#This Row],[ITEM ID]],'[1]REFERENSI RAB'!A:A,0)),"RAB","REGULER")</f>
        <v>RAB</v>
      </c>
      <c r="C118" s="64" t="s">
        <v>369</v>
      </c>
      <c r="D118" s="65" t="s">
        <v>370</v>
      </c>
      <c r="E118" s="26" t="s">
        <v>9</v>
      </c>
      <c r="F118" s="26" t="s">
        <v>140</v>
      </c>
      <c r="G118" s="55">
        <v>6</v>
      </c>
      <c r="H118" s="63">
        <f>[1]!Tabel14[[#This Row],[STOCK ACTUAL]]-[1]!Tabel14[[#This Row],[STOCK SISTEM]]</f>
        <v>0</v>
      </c>
    </row>
    <row r="119" spans="1:8" x14ac:dyDescent="0.25">
      <c r="A119" s="32"/>
      <c r="B119" s="63" t="str">
        <f>IF(ISNUMBER(MATCH([1]!Tabel14[[#This Row],[ITEM ID]],'[1]REFERENSI RAB'!A:A,0)),"RAB","REGULER")</f>
        <v>RAB</v>
      </c>
      <c r="C119" s="64" t="s">
        <v>371</v>
      </c>
      <c r="D119" s="65" t="s">
        <v>372</v>
      </c>
      <c r="E119" s="26" t="s">
        <v>24</v>
      </c>
      <c r="F119" s="26" t="s">
        <v>373</v>
      </c>
      <c r="G119" s="55">
        <v>15</v>
      </c>
      <c r="H119" s="63">
        <f>[1]!Tabel14[[#This Row],[STOCK ACTUAL]]-[1]!Tabel14[[#This Row],[STOCK SISTEM]]</f>
        <v>0</v>
      </c>
    </row>
    <row r="120" spans="1:8" x14ac:dyDescent="0.25">
      <c r="A120" s="32"/>
      <c r="B120" s="63" t="str">
        <f>IF(ISNUMBER(MATCH([1]!Tabel14[[#This Row],[ITEM ID]],'[1]REFERENSI RAB'!A:A,0)),"RAB","REGULER")</f>
        <v>RAB</v>
      </c>
      <c r="C120" s="33" t="s">
        <v>374</v>
      </c>
      <c r="D120" s="47" t="s">
        <v>375</v>
      </c>
      <c r="E120" s="26" t="s">
        <v>9</v>
      </c>
      <c r="F120" s="26" t="s">
        <v>153</v>
      </c>
      <c r="G120" s="55">
        <v>3</v>
      </c>
      <c r="H120" s="63">
        <f>[1]!Tabel14[[#This Row],[STOCK ACTUAL]]-[1]!Tabel14[[#This Row],[STOCK SISTEM]]</f>
        <v>0</v>
      </c>
    </row>
    <row r="121" spans="1:8" x14ac:dyDescent="0.25">
      <c r="A121" s="32"/>
      <c r="B121" s="63" t="str">
        <f>IF(ISNUMBER(MATCH([1]!Tabel14[[#This Row],[ITEM ID]],'[1]REFERENSI RAB'!A:A,0)),"RAB","REGULER")</f>
        <v>RAB</v>
      </c>
      <c r="C121" s="64" t="s">
        <v>376</v>
      </c>
      <c r="D121" s="65" t="s">
        <v>377</v>
      </c>
      <c r="E121" s="26" t="s">
        <v>9</v>
      </c>
      <c r="F121" s="26" t="s">
        <v>187</v>
      </c>
      <c r="G121" s="55">
        <v>3</v>
      </c>
      <c r="H121" s="63">
        <f>[1]!Tabel14[[#This Row],[STOCK ACTUAL]]-[1]!Tabel14[[#This Row],[STOCK SISTEM]]</f>
        <v>0</v>
      </c>
    </row>
    <row r="122" spans="1:8" x14ac:dyDescent="0.25">
      <c r="A122" s="32"/>
      <c r="B122" s="63" t="str">
        <f>IF(ISNUMBER(MATCH([1]!Tabel14[[#This Row],[ITEM ID]],'[1]REFERENSI RAB'!A:A,0)),"RAB","REGULER")</f>
        <v>RAB</v>
      </c>
      <c r="C122" s="33" t="s">
        <v>25</v>
      </c>
      <c r="D122" s="47" t="s">
        <v>26</v>
      </c>
      <c r="E122" s="26" t="s">
        <v>9</v>
      </c>
      <c r="F122" s="26" t="s">
        <v>373</v>
      </c>
      <c r="G122" s="55">
        <v>8</v>
      </c>
      <c r="H122" s="63">
        <f>[1]!Tabel14[[#This Row],[STOCK ACTUAL]]-[1]!Tabel14[[#This Row],[STOCK SISTEM]]</f>
        <v>0</v>
      </c>
    </row>
    <row r="123" spans="1:8" x14ac:dyDescent="0.25">
      <c r="A123" s="32"/>
      <c r="B123" s="63" t="str">
        <f>IF(ISNUMBER(MATCH([1]!Tabel14[[#This Row],[ITEM ID]],'[1]REFERENSI RAB'!A:A,0)),"RAB","REGULER")</f>
        <v>RAB</v>
      </c>
      <c r="C123" s="33" t="s">
        <v>378</v>
      </c>
      <c r="D123" s="47" t="s">
        <v>379</v>
      </c>
      <c r="E123" s="26" t="s">
        <v>9</v>
      </c>
      <c r="F123" s="26" t="s">
        <v>145</v>
      </c>
      <c r="G123" s="55">
        <v>39</v>
      </c>
      <c r="H123" s="63">
        <f>[1]!Tabel14[[#This Row],[STOCK ACTUAL]]-[1]!Tabel14[[#This Row],[STOCK SISTEM]]</f>
        <v>0</v>
      </c>
    </row>
    <row r="124" spans="1:8" x14ac:dyDescent="0.25">
      <c r="A124" s="32"/>
      <c r="B124" s="63" t="str">
        <f>IF(ISNUMBER(MATCH([1]!Tabel14[[#This Row],[ITEM ID]],'[1]REFERENSI RAB'!A:A,0)),"RAB","REGULER")</f>
        <v>RAB</v>
      </c>
      <c r="C124" s="64" t="s">
        <v>27</v>
      </c>
      <c r="D124" s="65" t="s">
        <v>28</v>
      </c>
      <c r="E124" s="26" t="s">
        <v>9</v>
      </c>
      <c r="F124" s="26" t="s">
        <v>141</v>
      </c>
      <c r="G124" s="55">
        <v>0</v>
      </c>
      <c r="H124" s="63">
        <f>[1]!Tabel14[[#This Row],[STOCK ACTUAL]]-[1]!Tabel14[[#This Row],[STOCK SISTEM]]</f>
        <v>0</v>
      </c>
    </row>
    <row r="125" spans="1:8" x14ac:dyDescent="0.25">
      <c r="A125" s="32"/>
      <c r="B125" s="63" t="str">
        <f>IF(ISNUMBER(MATCH([1]!Tabel14[[#This Row],[ITEM ID]],'[1]REFERENSI RAB'!A:A,0)),"RAB","REGULER")</f>
        <v>RAB</v>
      </c>
      <c r="C125" s="64" t="s">
        <v>29</v>
      </c>
      <c r="D125" s="65" t="s">
        <v>30</v>
      </c>
      <c r="E125" s="26" t="s">
        <v>31</v>
      </c>
      <c r="F125" s="26" t="s">
        <v>172</v>
      </c>
      <c r="G125" s="55">
        <v>0</v>
      </c>
      <c r="H125" s="63">
        <f>[1]!Tabel14[[#This Row],[STOCK ACTUAL]]-[1]!Tabel14[[#This Row],[STOCK SISTEM]]</f>
        <v>0</v>
      </c>
    </row>
    <row r="126" spans="1:8" x14ac:dyDescent="0.25">
      <c r="A126" s="32"/>
      <c r="B126" s="63" t="str">
        <f>IF(ISNUMBER(MATCH([1]!Tabel14[[#This Row],[ITEM ID]],'[1]REFERENSI RAB'!A:A,0)),"RAB","REGULER")</f>
        <v>RAB</v>
      </c>
      <c r="C126" s="64" t="s">
        <v>32</v>
      </c>
      <c r="D126" s="65" t="s">
        <v>33</v>
      </c>
      <c r="E126" s="26" t="s">
        <v>9</v>
      </c>
      <c r="F126" s="26" t="s">
        <v>145</v>
      </c>
      <c r="G126" s="55">
        <v>1</v>
      </c>
      <c r="H126" s="63">
        <f>[1]!Tabel14[[#This Row],[STOCK ACTUAL]]-[1]!Tabel14[[#This Row],[STOCK SISTEM]]</f>
        <v>0</v>
      </c>
    </row>
    <row r="127" spans="1:8" x14ac:dyDescent="0.25">
      <c r="A127" s="32"/>
      <c r="B127" s="63" t="str">
        <f>IF(ISNUMBER(MATCH([1]!Tabel14[[#This Row],[ITEM ID]],'[1]REFERENSI RAB'!A:A,0)),"RAB","REGULER")</f>
        <v>RAB</v>
      </c>
      <c r="C127" s="63" t="s">
        <v>380</v>
      </c>
      <c r="D127" s="67" t="s">
        <v>381</v>
      </c>
      <c r="E127" s="26" t="s">
        <v>9</v>
      </c>
      <c r="F127" s="26" t="s">
        <v>382</v>
      </c>
      <c r="G127" s="55">
        <v>14</v>
      </c>
      <c r="H127" s="63">
        <f>[1]!Tabel14[[#This Row],[STOCK ACTUAL]]-[1]!Tabel14[[#This Row],[STOCK SISTEM]]</f>
        <v>0</v>
      </c>
    </row>
    <row r="128" spans="1:8" x14ac:dyDescent="0.25">
      <c r="A128" s="32"/>
      <c r="B128" s="63" t="str">
        <f>IF(ISNUMBER(MATCH([1]!Tabel14[[#This Row],[ITEM ID]],'[1]REFERENSI RAB'!A:A,0)),"RAB","REGULER")</f>
        <v>RAB</v>
      </c>
      <c r="C128" s="63" t="s">
        <v>34</v>
      </c>
      <c r="D128" s="67" t="s">
        <v>35</v>
      </c>
      <c r="E128" s="26" t="s">
        <v>9</v>
      </c>
      <c r="F128" s="26" t="s">
        <v>153</v>
      </c>
      <c r="G128" s="55">
        <v>5</v>
      </c>
      <c r="H128" s="63">
        <f>[1]!Tabel14[[#This Row],[STOCK ACTUAL]]-[1]!Tabel14[[#This Row],[STOCK SISTEM]]</f>
        <v>0</v>
      </c>
    </row>
    <row r="129" spans="1:8" x14ac:dyDescent="0.25">
      <c r="A129" s="32"/>
      <c r="B129" s="63" t="str">
        <f>IF(ISNUMBER(MATCH([1]!Tabel14[[#This Row],[ITEM ID]],'[1]REFERENSI RAB'!A:A,0)),"RAB","REGULER")</f>
        <v>RAB</v>
      </c>
      <c r="C129" s="63" t="s">
        <v>383</v>
      </c>
      <c r="D129" s="67" t="s">
        <v>384</v>
      </c>
      <c r="E129" s="26" t="s">
        <v>9</v>
      </c>
      <c r="F129" s="26" t="s">
        <v>382</v>
      </c>
      <c r="G129" s="55">
        <v>6</v>
      </c>
      <c r="H129" s="63">
        <f>[1]!Tabel14[[#This Row],[STOCK ACTUAL]]-[1]!Tabel14[[#This Row],[STOCK SISTEM]]</f>
        <v>0</v>
      </c>
    </row>
    <row r="130" spans="1:8" x14ac:dyDescent="0.25">
      <c r="A130" s="32"/>
      <c r="B130" s="63" t="str">
        <f>IF(ISNUMBER(MATCH([1]!Tabel14[[#This Row],[ITEM ID]],'[1]REFERENSI RAB'!A:A,0)),"RAB","REGULER")</f>
        <v>RAB</v>
      </c>
      <c r="C130" s="63" t="s">
        <v>385</v>
      </c>
      <c r="D130" s="67" t="s">
        <v>386</v>
      </c>
      <c r="E130" s="26" t="s">
        <v>9</v>
      </c>
      <c r="F130" s="26" t="s">
        <v>387</v>
      </c>
      <c r="G130" s="55">
        <v>59</v>
      </c>
      <c r="H130" s="63">
        <f>[1]!Tabel14[[#This Row],[STOCK ACTUAL]]-[1]!Tabel14[[#This Row],[STOCK SISTEM]]</f>
        <v>0</v>
      </c>
    </row>
    <row r="131" spans="1:8" x14ac:dyDescent="0.25">
      <c r="A131" s="32"/>
      <c r="B131" s="63" t="str">
        <f>IF(ISNUMBER(MATCH([1]!Tabel14[[#This Row],[ITEM ID]],'[1]REFERENSI RAB'!A:A,0)),"RAB","REGULER")</f>
        <v>RAB</v>
      </c>
      <c r="C131" s="63" t="s">
        <v>388</v>
      </c>
      <c r="D131" s="67" t="s">
        <v>389</v>
      </c>
      <c r="E131" s="26" t="s">
        <v>9</v>
      </c>
      <c r="F131" s="26">
        <v>30</v>
      </c>
      <c r="G131" s="55">
        <v>48</v>
      </c>
      <c r="H131" s="63">
        <f>[1]!Tabel14[[#This Row],[STOCK ACTUAL]]-[1]!Tabel14[[#This Row],[STOCK SISTEM]]</f>
        <v>0</v>
      </c>
    </row>
    <row r="132" spans="1:8" x14ac:dyDescent="0.25">
      <c r="A132" s="32"/>
      <c r="B132" s="63" t="str">
        <f>IF(ISNUMBER(MATCH([1]!Tabel14[[#This Row],[ITEM ID]],'[1]REFERENSI RAB'!A:A,0)),"RAB","REGULER")</f>
        <v>RAB</v>
      </c>
      <c r="C132" s="63" t="s">
        <v>390</v>
      </c>
      <c r="D132" s="67" t="s">
        <v>391</v>
      </c>
      <c r="E132" s="26" t="s">
        <v>9</v>
      </c>
      <c r="F132" s="26">
        <v>32</v>
      </c>
      <c r="G132" s="55">
        <v>22</v>
      </c>
      <c r="H132" s="63">
        <f>[1]!Tabel14[[#This Row],[STOCK ACTUAL]]-[1]!Tabel14[[#This Row],[STOCK SISTEM]]</f>
        <v>0</v>
      </c>
    </row>
    <row r="133" spans="1:8" x14ac:dyDescent="0.25">
      <c r="A133" s="32"/>
      <c r="B133" s="63" t="str">
        <f>IF(ISNUMBER(MATCH([1]!Tabel14[[#This Row],[ITEM ID]],'[1]REFERENSI RAB'!A:A,0)),"RAB","REGULER")</f>
        <v>RAB</v>
      </c>
      <c r="C133" s="63" t="s">
        <v>392</v>
      </c>
      <c r="D133" s="67" t="s">
        <v>393</v>
      </c>
      <c r="E133" s="26" t="s">
        <v>9</v>
      </c>
      <c r="F133" s="26" t="s">
        <v>394</v>
      </c>
      <c r="G133" s="55">
        <v>16</v>
      </c>
      <c r="H133" s="63">
        <f>[1]!Tabel14[[#This Row],[STOCK ACTUAL]]-[1]!Tabel14[[#This Row],[STOCK SISTEM]]</f>
        <v>0</v>
      </c>
    </row>
    <row r="134" spans="1:8" x14ac:dyDescent="0.25">
      <c r="A134" s="32"/>
      <c r="B134" s="63" t="str">
        <f>IF(ISNUMBER(MATCH([1]!Tabel14[[#This Row],[ITEM ID]],'[1]REFERENSI RAB'!A:A,0)),"RAB","REGULER")</f>
        <v>RAB</v>
      </c>
      <c r="C134" s="63" t="s">
        <v>395</v>
      </c>
      <c r="D134" s="67" t="s">
        <v>396</v>
      </c>
      <c r="E134" s="26" t="s">
        <v>9</v>
      </c>
      <c r="F134" s="26" t="s">
        <v>397</v>
      </c>
      <c r="G134" s="55">
        <v>48</v>
      </c>
      <c r="H134" s="63">
        <f>[1]!Tabel14[[#This Row],[STOCK ACTUAL]]-[1]!Tabel14[[#This Row],[STOCK SISTEM]]</f>
        <v>0</v>
      </c>
    </row>
    <row r="135" spans="1:8" x14ac:dyDescent="0.25">
      <c r="A135" s="32"/>
      <c r="B135" s="63" t="str">
        <f>IF(ISNUMBER(MATCH([1]!Tabel14[[#This Row],[ITEM ID]],'[1]REFERENSI RAB'!A:A,0)),"RAB","REGULER")</f>
        <v>RAB</v>
      </c>
      <c r="C135" s="63" t="s">
        <v>398</v>
      </c>
      <c r="D135" s="67" t="s">
        <v>399</v>
      </c>
      <c r="E135" s="26" t="s">
        <v>9</v>
      </c>
      <c r="F135" s="26" t="s">
        <v>400</v>
      </c>
      <c r="G135" s="55">
        <v>145</v>
      </c>
      <c r="H135" s="63">
        <f>[1]!Tabel14[[#This Row],[STOCK ACTUAL]]-[1]!Tabel14[[#This Row],[STOCK SISTEM]]</f>
        <v>0</v>
      </c>
    </row>
    <row r="136" spans="1:8" x14ac:dyDescent="0.25">
      <c r="A136" s="32"/>
      <c r="B136" s="63" t="str">
        <f>IF(ISNUMBER(MATCH([1]!Tabel14[[#This Row],[ITEM ID]],'[1]REFERENSI RAB'!A:A,0)),"RAB","REGULER")</f>
        <v>RAB</v>
      </c>
      <c r="C136" s="63" t="s">
        <v>401</v>
      </c>
      <c r="D136" s="67" t="s">
        <v>402</v>
      </c>
      <c r="E136" s="26" t="s">
        <v>9</v>
      </c>
      <c r="F136" s="26" t="s">
        <v>342</v>
      </c>
      <c r="G136" s="55">
        <v>0</v>
      </c>
      <c r="H136" s="63">
        <f>[1]!Tabel14[[#This Row],[STOCK ACTUAL]]-[1]!Tabel14[[#This Row],[STOCK SISTEM]]</f>
        <v>0</v>
      </c>
    </row>
    <row r="137" spans="1:8" x14ac:dyDescent="0.25">
      <c r="A137" s="32"/>
      <c r="B137" s="63" t="str">
        <f>IF(ISNUMBER(MATCH([1]!Tabel14[[#This Row],[ITEM ID]],'[1]REFERENSI RAB'!A:A,0)),"RAB","REGULER")</f>
        <v>RAB</v>
      </c>
      <c r="C137" s="63" t="s">
        <v>403</v>
      </c>
      <c r="D137" s="67" t="s">
        <v>404</v>
      </c>
      <c r="E137" s="26" t="s">
        <v>9</v>
      </c>
      <c r="F137" s="26" t="s">
        <v>178</v>
      </c>
      <c r="G137" s="55">
        <v>12</v>
      </c>
      <c r="H137" s="63">
        <f>[1]!Tabel14[[#This Row],[STOCK ACTUAL]]-[1]!Tabel14[[#This Row],[STOCK SISTEM]]</f>
        <v>0</v>
      </c>
    </row>
    <row r="138" spans="1:8" x14ac:dyDescent="0.25">
      <c r="A138" s="32"/>
      <c r="B138" s="63" t="str">
        <f>IF(ISNUMBER(MATCH([1]!Tabel14[[#This Row],[ITEM ID]],'[1]REFERENSI RAB'!A:A,0)),"RAB","REGULER")</f>
        <v>RAB</v>
      </c>
      <c r="C138" s="63" t="s">
        <v>405</v>
      </c>
      <c r="D138" s="67" t="s">
        <v>406</v>
      </c>
      <c r="E138" s="26" t="s">
        <v>9</v>
      </c>
      <c r="F138" s="26" t="s">
        <v>349</v>
      </c>
      <c r="G138" s="55">
        <v>41</v>
      </c>
      <c r="H138" s="63">
        <f>[1]!Tabel14[[#This Row],[STOCK ACTUAL]]-[1]!Tabel14[[#This Row],[STOCK SISTEM]]</f>
        <v>0</v>
      </c>
    </row>
    <row r="139" spans="1:8" x14ac:dyDescent="0.25">
      <c r="A139" s="32"/>
      <c r="B139" s="63" t="str">
        <f>IF(ISNUMBER(MATCH([1]!Tabel14[[#This Row],[ITEM ID]],'[1]REFERENSI RAB'!A:A,0)),"RAB","REGULER")</f>
        <v>RAB</v>
      </c>
      <c r="C139" s="63" t="s">
        <v>407</v>
      </c>
      <c r="D139" s="67" t="s">
        <v>408</v>
      </c>
      <c r="E139" s="26" t="s">
        <v>9</v>
      </c>
      <c r="F139" s="26" t="s">
        <v>394</v>
      </c>
      <c r="G139" s="55">
        <v>42</v>
      </c>
      <c r="H139" s="63">
        <f>[1]!Tabel14[[#This Row],[STOCK ACTUAL]]-[1]!Tabel14[[#This Row],[STOCK SISTEM]]</f>
        <v>0</v>
      </c>
    </row>
    <row r="140" spans="1:8" x14ac:dyDescent="0.25">
      <c r="A140" s="32"/>
      <c r="B140" s="63" t="str">
        <f>IF(ISNUMBER(MATCH([1]!Tabel14[[#This Row],[ITEM ID]],'[1]REFERENSI RAB'!A:A,0)),"RAB","REGULER")</f>
        <v>RAB</v>
      </c>
      <c r="C140" s="33" t="s">
        <v>409</v>
      </c>
      <c r="D140" s="68" t="s">
        <v>410</v>
      </c>
      <c r="E140" s="26" t="s">
        <v>9</v>
      </c>
      <c r="F140" s="26" t="s">
        <v>411</v>
      </c>
      <c r="G140" s="55">
        <v>88</v>
      </c>
      <c r="H140" s="63">
        <f>[1]!Tabel14[[#This Row],[STOCK ACTUAL]]-[1]!Tabel14[[#This Row],[STOCK SISTEM]]</f>
        <v>0</v>
      </c>
    </row>
    <row r="141" spans="1:8" x14ac:dyDescent="0.25">
      <c r="A141" s="32"/>
      <c r="B141" s="63" t="str">
        <f>IF(ISNUMBER(MATCH([1]!Tabel14[[#This Row],[ITEM ID]],'[1]REFERENSI RAB'!A:A,0)),"RAB","REGULER")</f>
        <v>RAB</v>
      </c>
      <c r="C141" s="33" t="s">
        <v>412</v>
      </c>
      <c r="D141" s="68" t="s">
        <v>413</v>
      </c>
      <c r="E141" s="26" t="s">
        <v>9</v>
      </c>
      <c r="F141" s="26" t="s">
        <v>319</v>
      </c>
      <c r="G141" s="55">
        <v>62</v>
      </c>
      <c r="H141" s="63">
        <f>[1]!Tabel14[[#This Row],[STOCK ACTUAL]]-[1]!Tabel14[[#This Row],[STOCK SISTEM]]</f>
        <v>0</v>
      </c>
    </row>
    <row r="142" spans="1:8" x14ac:dyDescent="0.25">
      <c r="A142" s="32"/>
      <c r="B142" s="63" t="str">
        <f>IF(ISNUMBER(MATCH([1]!Tabel14[[#This Row],[ITEM ID]],'[1]REFERENSI RAB'!A:A,0)),"RAB","REGULER")</f>
        <v>RAB</v>
      </c>
      <c r="C142" s="33" t="s">
        <v>36</v>
      </c>
      <c r="D142" s="68" t="s">
        <v>37</v>
      </c>
      <c r="E142" s="26" t="s">
        <v>9</v>
      </c>
      <c r="F142" s="26" t="s">
        <v>145</v>
      </c>
      <c r="G142" s="55">
        <v>0</v>
      </c>
      <c r="H142" s="63">
        <f>[1]!Tabel14[[#This Row],[STOCK ACTUAL]]-[1]!Tabel14[[#This Row],[STOCK SISTEM]]</f>
        <v>0</v>
      </c>
    </row>
    <row r="143" spans="1:8" x14ac:dyDescent="0.25">
      <c r="A143" s="32"/>
      <c r="B143" s="63" t="str">
        <f>IF(ISNUMBER(MATCH([1]!Tabel14[[#This Row],[ITEM ID]],'[1]REFERENSI RAB'!A:A,0)),"RAB","REGULER")</f>
        <v>RAB</v>
      </c>
      <c r="C143" s="33" t="s">
        <v>38</v>
      </c>
      <c r="D143" s="68" t="s">
        <v>39</v>
      </c>
      <c r="E143" s="26" t="s">
        <v>9</v>
      </c>
      <c r="F143" s="26" t="s">
        <v>141</v>
      </c>
      <c r="G143" s="55">
        <v>0</v>
      </c>
      <c r="H143" s="63">
        <f>[1]!Tabel14[[#This Row],[STOCK ACTUAL]]-[1]!Tabel14[[#This Row],[STOCK SISTEM]]</f>
        <v>0</v>
      </c>
    </row>
    <row r="144" spans="1:8" x14ac:dyDescent="0.25">
      <c r="A144" s="32"/>
      <c r="B144" s="63" t="str">
        <f>IF(ISNUMBER(MATCH([1]!Tabel14[[#This Row],[ITEM ID]],'[1]REFERENSI RAB'!A:A,0)),"RAB","REGULER")</f>
        <v>RAB</v>
      </c>
      <c r="C144" s="33" t="s">
        <v>40</v>
      </c>
      <c r="D144" s="68" t="s">
        <v>41</v>
      </c>
      <c r="E144" s="26" t="s">
        <v>9</v>
      </c>
      <c r="F144" s="26" t="s">
        <v>275</v>
      </c>
      <c r="G144" s="55">
        <v>20</v>
      </c>
      <c r="H144" s="63">
        <f>[1]!Tabel14[[#This Row],[STOCK ACTUAL]]-[1]!Tabel14[[#This Row],[STOCK SISTEM]]</f>
        <v>0</v>
      </c>
    </row>
    <row r="145" spans="1:8" x14ac:dyDescent="0.25">
      <c r="A145" s="32"/>
      <c r="B145" s="63" t="str">
        <f>IF(ISNUMBER(MATCH([1]!Tabel14[[#This Row],[ITEM ID]],'[1]REFERENSI RAB'!A:A,0)),"RAB","REGULER")</f>
        <v>RAB</v>
      </c>
      <c r="C145" s="33" t="s">
        <v>42</v>
      </c>
      <c r="D145" s="68" t="s">
        <v>43</v>
      </c>
      <c r="E145" s="26" t="s">
        <v>9</v>
      </c>
      <c r="F145" s="26" t="s">
        <v>141</v>
      </c>
      <c r="G145" s="55">
        <v>0</v>
      </c>
      <c r="H145" s="63">
        <f>[1]!Tabel14[[#This Row],[STOCK ACTUAL]]-[1]!Tabel14[[#This Row],[STOCK SISTEM]]</f>
        <v>0</v>
      </c>
    </row>
    <row r="146" spans="1:8" x14ac:dyDescent="0.25">
      <c r="A146" s="32"/>
      <c r="B146" s="63" t="str">
        <f>IF(ISNUMBER(MATCH([1]!Tabel14[[#This Row],[ITEM ID]],'[1]REFERENSI RAB'!A:A,0)),"RAB","REGULER")</f>
        <v>RAB</v>
      </c>
      <c r="C146" s="33" t="s">
        <v>414</v>
      </c>
      <c r="D146" s="69" t="s">
        <v>415</v>
      </c>
      <c r="E146" s="26" t="s">
        <v>9</v>
      </c>
      <c r="F146" s="26" t="s">
        <v>167</v>
      </c>
      <c r="G146" s="55">
        <v>3</v>
      </c>
      <c r="H146" s="63">
        <f>[1]!Tabel14[[#This Row],[STOCK ACTUAL]]-[1]!Tabel14[[#This Row],[STOCK SISTEM]]</f>
        <v>0</v>
      </c>
    </row>
    <row r="147" spans="1:8" x14ac:dyDescent="0.25">
      <c r="A147" s="32"/>
      <c r="B147" s="63" t="str">
        <f>IF(ISNUMBER(MATCH([1]!Tabel14[[#This Row],[ITEM ID]],'[1]REFERENSI RAB'!A:A,0)),"RAB","REGULER")</f>
        <v>RAB</v>
      </c>
      <c r="C147" s="33" t="s">
        <v>416</v>
      </c>
      <c r="D147" s="68" t="s">
        <v>417</v>
      </c>
      <c r="E147" s="26" t="s">
        <v>9</v>
      </c>
      <c r="F147" s="26" t="s">
        <v>418</v>
      </c>
      <c r="G147" s="55">
        <v>5</v>
      </c>
      <c r="H147" s="63">
        <f>[1]!Tabel14[[#This Row],[STOCK ACTUAL]]-[1]!Tabel14[[#This Row],[STOCK SISTEM]]</f>
        <v>0</v>
      </c>
    </row>
    <row r="148" spans="1:8" x14ac:dyDescent="0.25">
      <c r="A148" s="32"/>
      <c r="B148" s="63" t="str">
        <f>IF(ISNUMBER(MATCH([1]!Tabel14[[#This Row],[ITEM ID]],'[1]REFERENSI RAB'!A:A,0)),"RAB","REGULER")</f>
        <v>RAB</v>
      </c>
      <c r="C148" s="33" t="s">
        <v>44</v>
      </c>
      <c r="D148" s="68" t="s">
        <v>45</v>
      </c>
      <c r="E148" s="26" t="s">
        <v>9</v>
      </c>
      <c r="F148" s="26" t="s">
        <v>167</v>
      </c>
      <c r="G148" s="55">
        <v>3</v>
      </c>
      <c r="H148" s="63">
        <f>[1]!Tabel14[[#This Row],[STOCK ACTUAL]]-[1]!Tabel14[[#This Row],[STOCK SISTEM]]</f>
        <v>0</v>
      </c>
    </row>
    <row r="149" spans="1:8" x14ac:dyDescent="0.25">
      <c r="A149" s="32"/>
      <c r="B149" s="63" t="str">
        <f>IF(ISNUMBER(MATCH([1]!Tabel14[[#This Row],[ITEM ID]],'[1]REFERENSI RAB'!A:A,0)),"RAB","REGULER")</f>
        <v>RAB</v>
      </c>
      <c r="C149" s="33" t="s">
        <v>46</v>
      </c>
      <c r="D149" s="68" t="s">
        <v>47</v>
      </c>
      <c r="E149" s="26" t="s">
        <v>9</v>
      </c>
      <c r="F149" s="26" t="s">
        <v>140</v>
      </c>
      <c r="G149" s="55">
        <v>0</v>
      </c>
      <c r="H149" s="63">
        <f>[1]!Tabel14[[#This Row],[STOCK ACTUAL]]-[1]!Tabel14[[#This Row],[STOCK SISTEM]]</f>
        <v>0</v>
      </c>
    </row>
    <row r="150" spans="1:8" x14ac:dyDescent="0.25">
      <c r="A150" s="32"/>
      <c r="B150" s="63" t="str">
        <f>IF(ISNUMBER(MATCH([1]!Tabel14[[#This Row],[ITEM ID]],'[1]REFERENSI RAB'!A:A,0)),"RAB","REGULER")</f>
        <v>RAB</v>
      </c>
      <c r="C150" s="33" t="s">
        <v>419</v>
      </c>
      <c r="D150" s="68" t="s">
        <v>420</v>
      </c>
      <c r="E150" s="26" t="s">
        <v>9</v>
      </c>
      <c r="F150" s="26" t="s">
        <v>141</v>
      </c>
      <c r="G150" s="55">
        <v>0</v>
      </c>
      <c r="H150" s="63">
        <f>[1]!Tabel14[[#This Row],[STOCK ACTUAL]]-[1]!Tabel14[[#This Row],[STOCK SISTEM]]</f>
        <v>0</v>
      </c>
    </row>
    <row r="151" spans="1:8" x14ac:dyDescent="0.25">
      <c r="A151" s="32"/>
      <c r="B151" s="63" t="str">
        <f>IF(ISNUMBER(MATCH([1]!Tabel14[[#This Row],[ITEM ID]],'[1]REFERENSI RAB'!A:A,0)),"RAB","REGULER")</f>
        <v>RAB</v>
      </c>
      <c r="C151" s="33" t="s">
        <v>48</v>
      </c>
      <c r="D151" s="68" t="s">
        <v>49</v>
      </c>
      <c r="E151" s="26" t="s">
        <v>9</v>
      </c>
      <c r="F151" s="26" t="s">
        <v>141</v>
      </c>
      <c r="G151" s="55">
        <v>0</v>
      </c>
      <c r="H151" s="63">
        <f>[1]!Tabel14[[#This Row],[STOCK ACTUAL]]-[1]!Tabel14[[#This Row],[STOCK SISTEM]]</f>
        <v>0</v>
      </c>
    </row>
    <row r="152" spans="1:8" x14ac:dyDescent="0.25">
      <c r="A152" s="32"/>
      <c r="B152" s="63" t="str">
        <f>IF(ISNUMBER(MATCH([1]!Tabel14[[#This Row],[ITEM ID]],'[1]REFERENSI RAB'!A:A,0)),"RAB","REGULER")</f>
        <v>RAB</v>
      </c>
      <c r="C152" s="33" t="s">
        <v>421</v>
      </c>
      <c r="D152" s="68" t="s">
        <v>422</v>
      </c>
      <c r="E152" s="26" t="s">
        <v>9</v>
      </c>
      <c r="F152" s="26" t="s">
        <v>145</v>
      </c>
      <c r="G152" s="55">
        <v>0</v>
      </c>
      <c r="H152" s="63">
        <f>[1]!Tabel14[[#This Row],[STOCK ACTUAL]]-[1]!Tabel14[[#This Row],[STOCK SISTEM]]</f>
        <v>0</v>
      </c>
    </row>
    <row r="153" spans="1:8" x14ac:dyDescent="0.25">
      <c r="A153" s="32"/>
      <c r="B153" s="63" t="str">
        <f>IF(ISNUMBER(MATCH([1]!Tabel14[[#This Row],[ITEM ID]],'[1]REFERENSI RAB'!A:A,0)),"RAB","REGULER")</f>
        <v>RAB</v>
      </c>
      <c r="C153" s="33" t="s">
        <v>423</v>
      </c>
      <c r="D153" s="68" t="s">
        <v>424</v>
      </c>
      <c r="E153" s="26" t="s">
        <v>9</v>
      </c>
      <c r="F153" s="26" t="s">
        <v>141</v>
      </c>
      <c r="G153" s="55">
        <v>0</v>
      </c>
      <c r="H153" s="63">
        <f>[1]!Tabel14[[#This Row],[STOCK ACTUAL]]-[1]!Tabel14[[#This Row],[STOCK SISTEM]]</f>
        <v>0</v>
      </c>
    </row>
    <row r="154" spans="1:8" x14ac:dyDescent="0.25">
      <c r="A154" s="32"/>
      <c r="B154" s="63" t="str">
        <f>IF(ISNUMBER(MATCH([1]!Tabel14[[#This Row],[ITEM ID]],'[1]REFERENSI RAB'!A:A,0)),"RAB","REGULER")</f>
        <v>RAB</v>
      </c>
      <c r="C154" s="33" t="s">
        <v>50</v>
      </c>
      <c r="D154" s="68" t="s">
        <v>51</v>
      </c>
      <c r="E154" s="26" t="s">
        <v>9</v>
      </c>
      <c r="F154" s="26" t="s">
        <v>172</v>
      </c>
      <c r="G154" s="55">
        <v>0</v>
      </c>
      <c r="H154" s="63">
        <f>[1]!Tabel14[[#This Row],[STOCK ACTUAL]]-[1]!Tabel14[[#This Row],[STOCK SISTEM]]</f>
        <v>0</v>
      </c>
    </row>
    <row r="155" spans="1:8" x14ac:dyDescent="0.25">
      <c r="A155" s="32"/>
      <c r="B155" s="63" t="str">
        <f>IF(ISNUMBER(MATCH([1]!Tabel14[[#This Row],[ITEM ID]],'[1]REFERENSI RAB'!A:A,0)),"RAB","REGULER")</f>
        <v>RAB</v>
      </c>
      <c r="C155" s="33" t="s">
        <v>425</v>
      </c>
      <c r="D155" s="68" t="s">
        <v>426</v>
      </c>
      <c r="E155" s="26" t="s">
        <v>427</v>
      </c>
      <c r="F155" s="26" t="s">
        <v>172</v>
      </c>
      <c r="G155" s="55">
        <v>0</v>
      </c>
      <c r="H155" s="63">
        <f>[1]!Tabel14[[#This Row],[STOCK ACTUAL]]-[1]!Tabel14[[#This Row],[STOCK SISTEM]]</f>
        <v>0</v>
      </c>
    </row>
    <row r="156" spans="1:8" x14ac:dyDescent="0.25">
      <c r="A156" s="32"/>
      <c r="B156" s="63" t="str">
        <f>IF(ISNUMBER(MATCH([1]!Tabel14[[#This Row],[ITEM ID]],'[1]REFERENSI RAB'!A:A,0)),"RAB","REGULER")</f>
        <v>RAB</v>
      </c>
      <c r="C156" s="33" t="s">
        <v>428</v>
      </c>
      <c r="D156" s="68" t="s">
        <v>429</v>
      </c>
      <c r="E156" s="26" t="s">
        <v>427</v>
      </c>
      <c r="F156" s="26" t="s">
        <v>394</v>
      </c>
      <c r="G156" s="55">
        <v>33</v>
      </c>
      <c r="H156" s="63">
        <f>[1]!Tabel14[[#This Row],[STOCK ACTUAL]]-[1]!Tabel14[[#This Row],[STOCK SISTEM]]</f>
        <v>0</v>
      </c>
    </row>
    <row r="157" spans="1:8" x14ac:dyDescent="0.25">
      <c r="A157" s="32"/>
      <c r="B157" s="63" t="str">
        <f>IF(ISNUMBER(MATCH([1]!Tabel14[[#This Row],[ITEM ID]],'[1]REFERENSI RAB'!A:A,0)),"RAB","REGULER")</f>
        <v>RAB</v>
      </c>
      <c r="C157" s="33" t="s">
        <v>430</v>
      </c>
      <c r="D157" s="68" t="s">
        <v>431</v>
      </c>
      <c r="E157" s="26" t="s">
        <v>427</v>
      </c>
      <c r="F157" s="26" t="s">
        <v>141</v>
      </c>
      <c r="G157" s="55">
        <v>0</v>
      </c>
      <c r="H157" s="63">
        <f>[1]!Tabel14[[#This Row],[STOCK ACTUAL]]-[1]!Tabel14[[#This Row],[STOCK SISTEM]]</f>
        <v>0</v>
      </c>
    </row>
    <row r="158" spans="1:8" x14ac:dyDescent="0.25">
      <c r="A158" s="32"/>
      <c r="B158" s="63" t="str">
        <f>IF(ISNUMBER(MATCH([1]!Tabel14[[#This Row],[ITEM ID]],'[1]REFERENSI RAB'!A:A,0)),"RAB","REGULER")</f>
        <v>RAB</v>
      </c>
      <c r="C158" s="33" t="s">
        <v>432</v>
      </c>
      <c r="D158" s="68" t="s">
        <v>433</v>
      </c>
      <c r="E158" s="26" t="s">
        <v>427</v>
      </c>
      <c r="F158" s="26" t="s">
        <v>295</v>
      </c>
      <c r="G158" s="55">
        <v>37</v>
      </c>
      <c r="H158" s="63">
        <f>[1]!Tabel14[[#This Row],[STOCK ACTUAL]]-[1]!Tabel14[[#This Row],[STOCK SISTEM]]</f>
        <v>0</v>
      </c>
    </row>
    <row r="159" spans="1:8" x14ac:dyDescent="0.25">
      <c r="A159" s="32"/>
      <c r="B159" s="63" t="str">
        <f>IF(ISNUMBER(MATCH([1]!Tabel14[[#This Row],[ITEM ID]],'[1]REFERENSI RAB'!A:A,0)),"RAB","REGULER")</f>
        <v>RAB</v>
      </c>
      <c r="C159" s="33" t="s">
        <v>434</v>
      </c>
      <c r="D159" s="68" t="s">
        <v>435</v>
      </c>
      <c r="E159" s="26" t="s">
        <v>427</v>
      </c>
      <c r="F159" s="26" t="s">
        <v>339</v>
      </c>
      <c r="G159" s="55">
        <v>31</v>
      </c>
      <c r="H159" s="63">
        <f>[1]!Tabel14[[#This Row],[STOCK ACTUAL]]-[1]!Tabel14[[#This Row],[STOCK SISTEM]]</f>
        <v>0</v>
      </c>
    </row>
    <row r="160" spans="1:8" x14ac:dyDescent="0.25">
      <c r="A160" s="32"/>
      <c r="B160" s="63" t="str">
        <f>IF(ISNUMBER(MATCH([1]!Tabel14[[#This Row],[ITEM ID]],'[1]REFERENSI RAB'!A:A,0)),"RAB","REGULER")</f>
        <v>RAB</v>
      </c>
      <c r="C160" s="33" t="s">
        <v>436</v>
      </c>
      <c r="D160" s="68" t="s">
        <v>437</v>
      </c>
      <c r="E160" s="26" t="s">
        <v>427</v>
      </c>
      <c r="F160" s="26" t="s">
        <v>438</v>
      </c>
      <c r="G160" s="55">
        <v>10</v>
      </c>
      <c r="H160" s="63">
        <f>[1]!Tabel14[[#This Row],[STOCK ACTUAL]]-[1]!Tabel14[[#This Row],[STOCK SISTEM]]</f>
        <v>0</v>
      </c>
    </row>
    <row r="161" spans="1:8" x14ac:dyDescent="0.25">
      <c r="A161" s="32"/>
      <c r="B161" s="63" t="str">
        <f>IF(ISNUMBER(MATCH([1]!Tabel14[[#This Row],[ITEM ID]],'[1]REFERENSI RAB'!A:A,0)),"RAB","REGULER")</f>
        <v>RAB</v>
      </c>
      <c r="C161" s="33" t="s">
        <v>439</v>
      </c>
      <c r="D161" s="68" t="s">
        <v>440</v>
      </c>
      <c r="E161" s="26" t="s">
        <v>9</v>
      </c>
      <c r="F161" s="26" t="s">
        <v>141</v>
      </c>
      <c r="G161" s="55">
        <v>0</v>
      </c>
      <c r="H161" s="63">
        <f>[1]!Tabel14[[#This Row],[STOCK ACTUAL]]-[1]!Tabel14[[#This Row],[STOCK SISTEM]]</f>
        <v>0</v>
      </c>
    </row>
    <row r="162" spans="1:8" x14ac:dyDescent="0.25">
      <c r="A162" s="32"/>
      <c r="B162" s="63" t="str">
        <f>IF(ISNUMBER(MATCH([1]!Tabel14[[#This Row],[ITEM ID]],'[1]REFERENSI RAB'!A:A,0)),"RAB","REGULER")</f>
        <v>RAB</v>
      </c>
      <c r="C162" s="33" t="s">
        <v>52</v>
      </c>
      <c r="D162" s="68" t="s">
        <v>53</v>
      </c>
      <c r="E162" s="26" t="s">
        <v>24</v>
      </c>
      <c r="F162" s="26" t="s">
        <v>153</v>
      </c>
      <c r="G162" s="55">
        <v>8</v>
      </c>
      <c r="H162" s="63">
        <f>[1]!Tabel14[[#This Row],[STOCK ACTUAL]]-[1]!Tabel14[[#This Row],[STOCK SISTEM]]</f>
        <v>0</v>
      </c>
    </row>
    <row r="163" spans="1:8" x14ac:dyDescent="0.25">
      <c r="A163" s="32"/>
      <c r="B163" s="63" t="str">
        <f>IF(ISNUMBER(MATCH([1]!Tabel14[[#This Row],[ITEM ID]],'[1]REFERENSI RAB'!A:A,0)),"RAB","REGULER")</f>
        <v>RAB</v>
      </c>
      <c r="C163" s="33" t="s">
        <v>54</v>
      </c>
      <c r="D163" s="68" t="s">
        <v>55</v>
      </c>
      <c r="E163" s="26" t="s">
        <v>24</v>
      </c>
      <c r="F163" s="26" t="s">
        <v>153</v>
      </c>
      <c r="G163" s="55">
        <v>0</v>
      </c>
      <c r="H163" s="63">
        <f>[1]!Tabel14[[#This Row],[STOCK ACTUAL]]-[1]!Tabel14[[#This Row],[STOCK SISTEM]]</f>
        <v>0</v>
      </c>
    </row>
    <row r="164" spans="1:8" x14ac:dyDescent="0.25">
      <c r="A164" s="32"/>
      <c r="B164" s="63" t="str">
        <f>IF(ISNUMBER(MATCH([1]!Tabel14[[#This Row],[ITEM ID]],'[1]REFERENSI RAB'!A:A,0)),"RAB","REGULER")</f>
        <v>RAB</v>
      </c>
      <c r="C164" s="33" t="s">
        <v>441</v>
      </c>
      <c r="D164" s="68" t="s">
        <v>442</v>
      </c>
      <c r="E164" s="26" t="s">
        <v>427</v>
      </c>
      <c r="F164" s="26" t="s">
        <v>438</v>
      </c>
      <c r="G164" s="55">
        <v>20</v>
      </c>
      <c r="H164" s="63">
        <f>[1]!Tabel14[[#This Row],[STOCK ACTUAL]]-[1]!Tabel14[[#This Row],[STOCK SISTEM]]</f>
        <v>0</v>
      </c>
    </row>
    <row r="165" spans="1:8" x14ac:dyDescent="0.25">
      <c r="A165" s="32"/>
      <c r="B165" s="63" t="str">
        <f>IF(ISNUMBER(MATCH([1]!Tabel14[[#This Row],[ITEM ID]],'[1]REFERENSI RAB'!A:A,0)),"RAB","REGULER")</f>
        <v>RAB</v>
      </c>
      <c r="C165" s="64" t="s">
        <v>56</v>
      </c>
      <c r="D165" s="65" t="s">
        <v>57</v>
      </c>
      <c r="E165" s="26" t="s">
        <v>58</v>
      </c>
      <c r="F165" s="26" t="s">
        <v>172</v>
      </c>
      <c r="G165" s="55">
        <v>0</v>
      </c>
      <c r="H165" s="63">
        <f>[1]!Tabel14[[#This Row],[STOCK ACTUAL]]-[1]!Tabel14[[#This Row],[STOCK SISTEM]]</f>
        <v>0</v>
      </c>
    </row>
    <row r="166" spans="1:8" x14ac:dyDescent="0.25">
      <c r="A166" s="32"/>
      <c r="B166" s="63" t="str">
        <f>IF(ISNUMBER(MATCH([1]!Tabel14[[#This Row],[ITEM ID]],'[1]REFERENSI RAB'!A:A,0)),"RAB","REGULER")</f>
        <v>RAB</v>
      </c>
      <c r="C166" s="64" t="s">
        <v>59</v>
      </c>
      <c r="D166" s="65" t="s">
        <v>60</v>
      </c>
      <c r="E166" s="26" t="s">
        <v>9</v>
      </c>
      <c r="F166" s="26" t="s">
        <v>178</v>
      </c>
      <c r="G166" s="55">
        <v>0</v>
      </c>
      <c r="H166" s="63">
        <f>[1]!Tabel14[[#This Row],[STOCK ACTUAL]]-[1]!Tabel14[[#This Row],[STOCK SISTEM]]</f>
        <v>0</v>
      </c>
    </row>
    <row r="167" spans="1:8" x14ac:dyDescent="0.25">
      <c r="A167" s="32"/>
      <c r="B167" s="63" t="str">
        <f>IF(ISNUMBER(MATCH([1]!Tabel14[[#This Row],[ITEM ID]],'[1]REFERENSI RAB'!A:A,0)),"RAB","REGULER")</f>
        <v>RAB</v>
      </c>
      <c r="C167" s="64" t="s">
        <v>133</v>
      </c>
      <c r="D167" s="65" t="s">
        <v>134</v>
      </c>
      <c r="E167" s="26" t="s">
        <v>9</v>
      </c>
      <c r="F167" s="26" t="s">
        <v>141</v>
      </c>
      <c r="G167" s="55">
        <v>0</v>
      </c>
      <c r="H167" s="63">
        <f>[1]!Tabel14[[#This Row],[STOCK ACTUAL]]-[1]!Tabel14[[#This Row],[STOCK SISTEM]]</f>
        <v>0</v>
      </c>
    </row>
    <row r="168" spans="1:8" x14ac:dyDescent="0.25">
      <c r="A168" s="32"/>
      <c r="B168" s="63" t="str">
        <f>IF(ISNUMBER(MATCH([1]!Tabel14[[#This Row],[ITEM ID]],'[1]REFERENSI RAB'!A:A,0)),"RAB","REGULER")</f>
        <v>RAB</v>
      </c>
      <c r="C168" s="33" t="s">
        <v>443</v>
      </c>
      <c r="D168" s="47" t="s">
        <v>444</v>
      </c>
      <c r="E168" s="26" t="s">
        <v>66</v>
      </c>
      <c r="F168" s="26" t="s">
        <v>336</v>
      </c>
      <c r="G168" s="55">
        <v>22</v>
      </c>
      <c r="H168" s="63">
        <f>[1]!Tabel14[[#This Row],[STOCK ACTUAL]]-[1]!Tabel14[[#This Row],[STOCK SISTEM]]</f>
        <v>0</v>
      </c>
    </row>
    <row r="169" spans="1:8" x14ac:dyDescent="0.25">
      <c r="A169" s="32"/>
      <c r="B169" s="63" t="str">
        <f>IF(ISNUMBER(MATCH([1]!Tabel14[[#This Row],[ITEM ID]],'[1]REFERENSI RAB'!A:A,0)),"RAB","REGULER")</f>
        <v>RAB</v>
      </c>
      <c r="C169" s="33" t="s">
        <v>61</v>
      </c>
      <c r="D169" s="47" t="s">
        <v>62</v>
      </c>
      <c r="E169" s="26" t="s">
        <v>63</v>
      </c>
      <c r="F169" s="26" t="s">
        <v>141</v>
      </c>
      <c r="G169" s="55">
        <v>0</v>
      </c>
      <c r="H169" s="63">
        <f>[1]!Tabel14[[#This Row],[STOCK ACTUAL]]-[1]!Tabel14[[#This Row],[STOCK SISTEM]]</f>
        <v>0</v>
      </c>
    </row>
    <row r="170" spans="1:8" x14ac:dyDescent="0.25">
      <c r="A170" s="32"/>
      <c r="B170" s="63" t="str">
        <f>IF(ISNUMBER(MATCH([1]!Tabel14[[#This Row],[ITEM ID]],'[1]REFERENSI RAB'!A:A,0)),"RAB","REGULER")</f>
        <v>RAB</v>
      </c>
      <c r="C170" s="33" t="s">
        <v>64</v>
      </c>
      <c r="D170" s="47" t="s">
        <v>65</v>
      </c>
      <c r="E170" s="26" t="s">
        <v>66</v>
      </c>
      <c r="F170" s="26" t="s">
        <v>373</v>
      </c>
      <c r="G170" s="55">
        <v>0</v>
      </c>
      <c r="H170" s="63">
        <f>[1]!Tabel14[[#This Row],[STOCK ACTUAL]]-[1]!Tabel14[[#This Row],[STOCK SISTEM]]</f>
        <v>0</v>
      </c>
    </row>
    <row r="171" spans="1:8" x14ac:dyDescent="0.25">
      <c r="A171" s="32"/>
      <c r="B171" s="63" t="str">
        <f>IF(ISNUMBER(MATCH([1]!Tabel14[[#This Row],[ITEM ID]],'[1]REFERENSI RAB'!A:A,0)),"RAB","REGULER")</f>
        <v>RAB</v>
      </c>
      <c r="C171" s="33" t="s">
        <v>67</v>
      </c>
      <c r="D171" s="47" t="s">
        <v>68</v>
      </c>
      <c r="E171" s="26" t="s">
        <v>66</v>
      </c>
      <c r="F171" s="26" t="s">
        <v>283</v>
      </c>
      <c r="G171" s="55">
        <v>0</v>
      </c>
      <c r="H171" s="63">
        <f>[1]!Tabel14[[#This Row],[STOCK ACTUAL]]-[1]!Tabel14[[#This Row],[STOCK SISTEM]]</f>
        <v>0</v>
      </c>
    </row>
    <row r="172" spans="1:8" x14ac:dyDescent="0.25">
      <c r="A172" s="32"/>
      <c r="B172" s="63" t="str">
        <f>IF(ISNUMBER(MATCH([1]!Tabel14[[#This Row],[ITEM ID]],'[1]REFERENSI RAB'!A:A,0)),"RAB","REGULER")</f>
        <v>RAB</v>
      </c>
      <c r="C172" s="33" t="s">
        <v>69</v>
      </c>
      <c r="D172" s="47" t="s">
        <v>70</v>
      </c>
      <c r="E172" s="26" t="s">
        <v>66</v>
      </c>
      <c r="F172" s="26" t="s">
        <v>445</v>
      </c>
      <c r="G172" s="55">
        <v>0</v>
      </c>
      <c r="H172" s="63">
        <f>[1]!Tabel14[[#This Row],[STOCK ACTUAL]]-[1]!Tabel14[[#This Row],[STOCK SISTEM]]</f>
        <v>0</v>
      </c>
    </row>
    <row r="173" spans="1:8" x14ac:dyDescent="0.25">
      <c r="A173" s="32"/>
      <c r="B173" s="63" t="str">
        <f>IF(ISNUMBER(MATCH([1]!Tabel14[[#This Row],[ITEM ID]],'[1]REFERENSI RAB'!A:A,0)),"RAB","REGULER")</f>
        <v>RAB</v>
      </c>
      <c r="C173" s="64" t="s">
        <v>71</v>
      </c>
      <c r="D173" s="65" t="s">
        <v>72</v>
      </c>
      <c r="E173" s="26" t="s">
        <v>66</v>
      </c>
      <c r="F173" s="26" t="s">
        <v>283</v>
      </c>
      <c r="G173" s="55">
        <v>0</v>
      </c>
      <c r="H173" s="63">
        <f>[1]!Tabel14[[#This Row],[STOCK ACTUAL]]-[1]!Tabel14[[#This Row],[STOCK SISTEM]]</f>
        <v>0</v>
      </c>
    </row>
    <row r="174" spans="1:8" x14ac:dyDescent="0.25">
      <c r="A174" s="32"/>
      <c r="B174" s="63" t="str">
        <f>IF(ISNUMBER(MATCH([1]!Tabel14[[#This Row],[ITEM ID]],'[1]REFERENSI RAB'!A:A,0)),"RAB","REGULER")</f>
        <v>RAB</v>
      </c>
      <c r="C174" s="64" t="s">
        <v>446</v>
      </c>
      <c r="D174" s="65" t="s">
        <v>447</v>
      </c>
      <c r="E174" s="26" t="s">
        <v>9</v>
      </c>
      <c r="F174" s="26" t="s">
        <v>145</v>
      </c>
      <c r="G174" s="55">
        <v>0</v>
      </c>
      <c r="H174" s="63">
        <f>[1]!Tabel14[[#This Row],[STOCK ACTUAL]]-[1]!Tabel14[[#This Row],[STOCK SISTEM]]</f>
        <v>0</v>
      </c>
    </row>
    <row r="175" spans="1:8" x14ac:dyDescent="0.25">
      <c r="A175" s="32"/>
      <c r="B175" s="63" t="str">
        <f>IF(ISNUMBER(MATCH([1]!Tabel14[[#This Row],[ITEM ID]],'[1]REFERENSI RAB'!A:A,0)),"RAB","REGULER")</f>
        <v>RAB</v>
      </c>
      <c r="C175" s="64" t="s">
        <v>448</v>
      </c>
      <c r="D175" s="65" t="s">
        <v>449</v>
      </c>
      <c r="E175" s="26" t="s">
        <v>9</v>
      </c>
      <c r="F175" s="26" t="s">
        <v>141</v>
      </c>
      <c r="G175" s="55">
        <v>0</v>
      </c>
      <c r="H175" s="63">
        <f>[1]!Tabel14[[#This Row],[STOCK ACTUAL]]-[1]!Tabel14[[#This Row],[STOCK SISTEM]]</f>
        <v>0</v>
      </c>
    </row>
    <row r="176" spans="1:8" x14ac:dyDescent="0.25">
      <c r="A176" s="32"/>
      <c r="B176" s="63" t="str">
        <f>IF(ISNUMBER(MATCH([1]!Tabel14[[#This Row],[ITEM ID]],'[1]REFERENSI RAB'!A:A,0)),"RAB","REGULER")</f>
        <v>RAB</v>
      </c>
      <c r="C176" s="64" t="s">
        <v>450</v>
      </c>
      <c r="D176" s="65" t="s">
        <v>451</v>
      </c>
      <c r="E176" s="26" t="s">
        <v>21</v>
      </c>
      <c r="F176" s="26" t="s">
        <v>141</v>
      </c>
      <c r="G176" s="55">
        <v>0</v>
      </c>
      <c r="H176" s="63">
        <f>[1]!Tabel14[[#This Row],[STOCK ACTUAL]]-[1]!Tabel14[[#This Row],[STOCK SISTEM]]</f>
        <v>0</v>
      </c>
    </row>
    <row r="177" spans="1:8" x14ac:dyDescent="0.25">
      <c r="A177" s="32"/>
      <c r="B177" s="63" t="str">
        <f>IF(ISNUMBER(MATCH([1]!Tabel14[[#This Row],[ITEM ID]],'[1]REFERENSI RAB'!A:A,0)),"RAB","REGULER")</f>
        <v>RAB</v>
      </c>
      <c r="C177" s="64" t="s">
        <v>73</v>
      </c>
      <c r="D177" s="65" t="s">
        <v>74</v>
      </c>
      <c r="E177" s="26" t="s">
        <v>75</v>
      </c>
      <c r="F177" s="26" t="s">
        <v>145</v>
      </c>
      <c r="G177" s="55">
        <v>0</v>
      </c>
      <c r="H177" s="63">
        <f>[1]!Tabel14[[#This Row],[STOCK ACTUAL]]-[1]!Tabel14[[#This Row],[STOCK SISTEM]]</f>
        <v>0</v>
      </c>
    </row>
    <row r="178" spans="1:8" x14ac:dyDescent="0.25">
      <c r="A178" s="32"/>
      <c r="B178" s="63" t="str">
        <f>IF(ISNUMBER(MATCH([1]!Tabel14[[#This Row],[ITEM ID]],'[1]REFERENSI RAB'!A:A,0)),"RAB","REGULER")</f>
        <v>RAB</v>
      </c>
      <c r="C178" s="64" t="s">
        <v>76</v>
      </c>
      <c r="D178" s="65" t="s">
        <v>77</v>
      </c>
      <c r="E178" s="26" t="s">
        <v>78</v>
      </c>
      <c r="F178" s="26" t="s">
        <v>141</v>
      </c>
      <c r="G178" s="55">
        <v>0</v>
      </c>
      <c r="H178" s="63">
        <f>[1]!Tabel14[[#This Row],[STOCK ACTUAL]]-[1]!Tabel14[[#This Row],[STOCK SISTEM]]</f>
        <v>0</v>
      </c>
    </row>
    <row r="179" spans="1:8" x14ac:dyDescent="0.25">
      <c r="A179" s="32"/>
      <c r="B179" s="63" t="str">
        <f>IF(ISNUMBER(MATCH([1]!Tabel14[[#This Row],[ITEM ID]],'[1]REFERENSI RAB'!A:A,0)),"RAB","REGULER")</f>
        <v>RAB</v>
      </c>
      <c r="C179" s="64" t="s">
        <v>452</v>
      </c>
      <c r="D179" s="65" t="s">
        <v>453</v>
      </c>
      <c r="E179" s="26" t="s">
        <v>21</v>
      </c>
      <c r="F179" s="26" t="s">
        <v>454</v>
      </c>
      <c r="G179" s="55">
        <v>8</v>
      </c>
      <c r="H179" s="63">
        <f>[1]!Tabel14[[#This Row],[STOCK ACTUAL]]-[1]!Tabel14[[#This Row],[STOCK SISTEM]]</f>
        <v>0</v>
      </c>
    </row>
    <row r="180" spans="1:8" x14ac:dyDescent="0.25">
      <c r="A180" s="32"/>
      <c r="B180" s="63" t="str">
        <f>IF(ISNUMBER(MATCH([1]!Tabel14[[#This Row],[ITEM ID]],'[1]REFERENSI RAB'!A:A,0)),"RAB","REGULER")</f>
        <v>RAB</v>
      </c>
      <c r="C180" s="64" t="s">
        <v>82</v>
      </c>
      <c r="D180" s="65" t="s">
        <v>81</v>
      </c>
      <c r="E180" s="26" t="s">
        <v>83</v>
      </c>
      <c r="F180" s="26" t="s">
        <v>172</v>
      </c>
      <c r="G180" s="55">
        <v>0</v>
      </c>
      <c r="H180" s="63">
        <f>[1]!Tabel14[[#This Row],[STOCK ACTUAL]]-[1]!Tabel14[[#This Row],[STOCK SISTEM]]</f>
        <v>0</v>
      </c>
    </row>
    <row r="181" spans="1:8" x14ac:dyDescent="0.25">
      <c r="A181" s="32"/>
      <c r="B181" s="63" t="str">
        <f>IF(ISNUMBER(MATCH([1]!Tabel14[[#This Row],[ITEM ID]],'[1]REFERENSI RAB'!A:A,0)),"RAB","REGULER")</f>
        <v>RAB</v>
      </c>
      <c r="C181" s="64" t="s">
        <v>84</v>
      </c>
      <c r="D181" s="65" t="s">
        <v>85</v>
      </c>
      <c r="E181" s="26" t="s">
        <v>83</v>
      </c>
      <c r="F181" s="26" t="s">
        <v>187</v>
      </c>
      <c r="G181" s="55">
        <v>2</v>
      </c>
      <c r="H181" s="63">
        <f>[1]!Tabel14[[#This Row],[STOCK ACTUAL]]-[1]!Tabel14[[#This Row],[STOCK SISTEM]]</f>
        <v>0</v>
      </c>
    </row>
    <row r="182" spans="1:8" x14ac:dyDescent="0.25">
      <c r="A182" s="32"/>
      <c r="B182" s="63" t="str">
        <f>IF(ISNUMBER(MATCH([1]!Tabel14[[#This Row],[ITEM ID]],'[1]REFERENSI RAB'!A:A,0)),"RAB","REGULER")</f>
        <v>RAB</v>
      </c>
      <c r="C182" s="33" t="s">
        <v>86</v>
      </c>
      <c r="D182" s="68" t="s">
        <v>87</v>
      </c>
      <c r="E182" s="26" t="s">
        <v>88</v>
      </c>
      <c r="F182" s="26" t="s">
        <v>455</v>
      </c>
      <c r="G182" s="55">
        <v>1</v>
      </c>
      <c r="H182" s="63">
        <f>[1]!Tabel14[[#This Row],[STOCK ACTUAL]]-[1]!Tabel14[[#This Row],[STOCK SISTEM]]</f>
        <v>0</v>
      </c>
    </row>
    <row r="183" spans="1:8" x14ac:dyDescent="0.25">
      <c r="A183" s="32"/>
      <c r="B183" s="63" t="str">
        <f>IF(ISNUMBER(MATCH([1]!Tabel14[[#This Row],[ITEM ID]],'[1]REFERENSI RAB'!A:A,0)),"RAB","REGULER")</f>
        <v>RAB</v>
      </c>
      <c r="C183" s="24" t="s">
        <v>456</v>
      </c>
      <c r="D183" s="24" t="s">
        <v>457</v>
      </c>
      <c r="E183" s="70" t="s">
        <v>9</v>
      </c>
      <c r="F183" s="26">
        <v>120</v>
      </c>
      <c r="G183" s="71">
        <v>109</v>
      </c>
      <c r="H183" s="63">
        <f>[1]!Tabel14[[#This Row],[STOCK ACTUAL]]-[1]!Tabel14[[#This Row],[STOCK SISTEM]]</f>
        <v>3</v>
      </c>
    </row>
    <row r="184" spans="1:8" x14ac:dyDescent="0.25">
      <c r="A184" s="72"/>
      <c r="B184" s="63"/>
      <c r="C184" s="63"/>
      <c r="D184" s="63"/>
      <c r="E184" s="26"/>
      <c r="F184" s="26"/>
      <c r="G184" s="71"/>
      <c r="H184" s="63"/>
    </row>
  </sheetData>
  <dataValidations count="1">
    <dataValidation type="list" allowBlank="1" sqref="B1:B181" xr:uid="{F7ABA946-931C-47EA-8FDC-F30ED10D7D6F}">
      <formula1>"RAB,REGULER"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LAPORAN STOK (2)</vt:lpstr>
      <vt:lpstr>CEK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2026-08-06T01:28:55Z</dcterms:created>
  <dcterms:modified xsi:type="dcterms:W3CDTF">2026-08-08T06:40:54Z</dcterms:modified>
</cp:coreProperties>
</file>